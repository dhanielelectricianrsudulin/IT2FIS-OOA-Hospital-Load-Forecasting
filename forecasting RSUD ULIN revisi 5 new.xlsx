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3 ITS\Paper 3\simulasi\forcasting tahun 2024\INASS IT2FLS-OOA\"/>
    </mc:Choice>
  </mc:AlternateContent>
  <bookViews>
    <workbookView xWindow="-105" yWindow="-105" windowWidth="23250" windowHeight="12450" firstSheet="3" activeTab="3"/>
  </bookViews>
  <sheets>
    <sheet name="2020a" sheetId="13" r:id="rId1"/>
    <sheet name="2021a" sheetId="1" r:id="rId2"/>
    <sheet name="2022a" sheetId="4" r:id="rId3"/>
    <sheet name="2023a" sheetId="5" r:id="rId4"/>
    <sheet name="hasil VLD 2023" sheetId="24" r:id="rId5"/>
    <sheet name="2024a" sheetId="21" r:id="rId6"/>
    <sheet name="hasil VLD 2024" sheetId="25" r:id="rId7"/>
    <sheet name="VLD(x,y,z)2023" sheetId="14" r:id="rId8"/>
    <sheet name="VLD(x,y,z)2024" sheetId="22" r:id="rId9"/>
    <sheet name="RuleBase 2023" sheetId="15" r:id="rId10"/>
    <sheet name="RuleBase 2024" sheetId="23" r:id="rId11"/>
    <sheet name="Konsumsi beban listrik" sheetId="6" r:id="rId1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8" i="21" l="1"/>
  <c r="Q113" i="21"/>
  <c r="Q112" i="21"/>
  <c r="Q111" i="21"/>
  <c r="Q109" i="21"/>
  <c r="Q108" i="21"/>
  <c r="Q106" i="21"/>
  <c r="Q103" i="21"/>
  <c r="Q92" i="21"/>
  <c r="Q56" i="21"/>
  <c r="Q55" i="21"/>
  <c r="Q54" i="21"/>
  <c r="Q51" i="21"/>
  <c r="Q50" i="21"/>
  <c r="Q49" i="21"/>
  <c r="Q48" i="21"/>
  <c r="Q36" i="21"/>
  <c r="Q35" i="21"/>
  <c r="Q34" i="21"/>
  <c r="Q32" i="21"/>
  <c r="Q31" i="21"/>
  <c r="Q29" i="21"/>
  <c r="Q26" i="21"/>
  <c r="Q25" i="21"/>
  <c r="Q18" i="21"/>
  <c r="Q17" i="21"/>
  <c r="Q16" i="21"/>
  <c r="Q15" i="21"/>
  <c r="Q13" i="21"/>
  <c r="Q12" i="21"/>
  <c r="Q10" i="21"/>
  <c r="Q8" i="21"/>
  <c r="Q7" i="21"/>
  <c r="H81" i="22" l="1"/>
  <c r="G81" i="22"/>
  <c r="I80" i="22"/>
  <c r="H80" i="22"/>
  <c r="E79" i="22"/>
  <c r="D79" i="22"/>
  <c r="H78" i="22"/>
  <c r="G78" i="22"/>
  <c r="H77" i="22"/>
  <c r="G77" i="22"/>
  <c r="G76" i="22"/>
  <c r="F76" i="22"/>
  <c r="G75" i="22"/>
  <c r="F75" i="22"/>
  <c r="F74" i="22"/>
  <c r="E74" i="22"/>
  <c r="F73" i="22"/>
  <c r="E73" i="22"/>
  <c r="H72" i="22"/>
  <c r="G72" i="22"/>
  <c r="H71" i="22"/>
  <c r="G71" i="22"/>
  <c r="G70" i="22"/>
  <c r="F70" i="22"/>
  <c r="H69" i="22"/>
  <c r="G69" i="22"/>
  <c r="F68" i="22"/>
  <c r="E68" i="22"/>
  <c r="G18" i="22"/>
  <c r="E59" i="22"/>
  <c r="D59" i="22"/>
  <c r="I58" i="22"/>
  <c r="H58" i="22"/>
  <c r="F53" i="22"/>
  <c r="E53" i="22"/>
  <c r="H52" i="22"/>
  <c r="G52" i="22"/>
  <c r="H51" i="22"/>
  <c r="G51" i="22"/>
  <c r="G50" i="22"/>
  <c r="F50" i="22"/>
  <c r="G49" i="22"/>
  <c r="F49" i="22"/>
  <c r="F48" i="22"/>
  <c r="E48" i="22"/>
  <c r="H47" i="22"/>
  <c r="G47" i="22"/>
  <c r="F38" i="22"/>
  <c r="E38" i="22"/>
  <c r="F37" i="22"/>
  <c r="E37" i="22"/>
  <c r="E36" i="22"/>
  <c r="D36" i="22"/>
  <c r="G35" i="22"/>
  <c r="F35" i="22"/>
  <c r="F34" i="22"/>
  <c r="E34" i="22"/>
  <c r="I33" i="22"/>
  <c r="H33" i="22"/>
  <c r="H31" i="22"/>
  <c r="G31" i="22"/>
  <c r="F30" i="22"/>
  <c r="E30" i="22"/>
  <c r="F29" i="22"/>
  <c r="E29" i="22"/>
  <c r="E28" i="22"/>
  <c r="D28" i="22"/>
  <c r="F27" i="22"/>
  <c r="E27" i="22"/>
  <c r="F26" i="22"/>
  <c r="E26" i="22"/>
  <c r="F80" i="14"/>
  <c r="E80" i="14"/>
  <c r="F79" i="14"/>
  <c r="E79" i="14"/>
  <c r="E78" i="14"/>
  <c r="D78" i="14"/>
  <c r="G77" i="14"/>
  <c r="F77" i="14"/>
  <c r="F76" i="14"/>
  <c r="E76" i="14"/>
  <c r="I75" i="14"/>
  <c r="H75" i="14"/>
  <c r="H73" i="14"/>
  <c r="G73" i="14"/>
  <c r="F72" i="14"/>
  <c r="E72" i="14"/>
  <c r="F71" i="14"/>
  <c r="E71" i="14"/>
  <c r="E70" i="14"/>
  <c r="D70" i="14"/>
  <c r="F69" i="14"/>
  <c r="E69" i="14"/>
  <c r="F68" i="14"/>
  <c r="E68" i="14"/>
  <c r="F60" i="14"/>
  <c r="E60" i="14"/>
  <c r="F59" i="14"/>
  <c r="E59" i="14"/>
  <c r="F58" i="14"/>
  <c r="E58" i="14"/>
  <c r="G57" i="14"/>
  <c r="F57" i="14"/>
  <c r="F56" i="14"/>
  <c r="E56" i="14"/>
  <c r="G55" i="14"/>
  <c r="F55" i="14"/>
  <c r="H53" i="14"/>
  <c r="G53" i="14"/>
  <c r="F52" i="14"/>
  <c r="E52" i="14"/>
  <c r="F51" i="14"/>
  <c r="E51" i="14"/>
  <c r="E50" i="14"/>
  <c r="D50" i="14"/>
  <c r="I49" i="14"/>
  <c r="H49" i="14"/>
  <c r="F48" i="14"/>
  <c r="E48" i="14"/>
  <c r="F47" i="14"/>
  <c r="E47" i="14"/>
  <c r="G39" i="14"/>
  <c r="F39" i="14"/>
  <c r="M38" i="14"/>
  <c r="L38" i="14"/>
  <c r="N37" i="14"/>
  <c r="M37" i="14"/>
  <c r="H36" i="14"/>
  <c r="G36" i="14"/>
  <c r="G35" i="14"/>
  <c r="F35" i="14"/>
  <c r="G34" i="14"/>
  <c r="F34" i="14"/>
  <c r="H33" i="14"/>
  <c r="G33" i="14"/>
  <c r="F32" i="14"/>
  <c r="E32" i="14"/>
  <c r="G31" i="14"/>
  <c r="F31" i="14"/>
  <c r="F30" i="14"/>
  <c r="E30" i="14"/>
  <c r="F29" i="14"/>
  <c r="E29" i="14"/>
  <c r="I18" i="13"/>
  <c r="J18" i="13" s="1"/>
  <c r="I17" i="13"/>
  <c r="J17" i="13" s="1"/>
  <c r="I16" i="13"/>
  <c r="J16" i="13" s="1"/>
  <c r="J15" i="13"/>
  <c r="I15" i="13"/>
  <c r="I14" i="13"/>
  <c r="J14" i="13" s="1"/>
  <c r="I13" i="13"/>
  <c r="J13" i="13" s="1"/>
  <c r="I12" i="13"/>
  <c r="J12" i="13" s="1"/>
  <c r="J11" i="13"/>
  <c r="I11" i="13"/>
  <c r="I10" i="13"/>
  <c r="J10" i="13" s="1"/>
  <c r="I9" i="13"/>
  <c r="J9" i="13" s="1"/>
  <c r="I8" i="13"/>
  <c r="J8" i="13" s="1"/>
  <c r="J7" i="13"/>
  <c r="I7" i="13"/>
  <c r="I6" i="13"/>
  <c r="J6" i="13" s="1"/>
  <c r="I5" i="13"/>
  <c r="J5" i="13" s="1"/>
  <c r="W116" i="5" l="1" a="1"/>
  <c r="W96" i="5" a="1"/>
  <c r="V38" i="5"/>
  <c r="V37" i="5"/>
  <c r="V36" i="5"/>
  <c r="V32" i="5"/>
  <c r="V28" i="5"/>
  <c r="V27" i="5"/>
  <c r="V25" i="5"/>
  <c r="W39" i="5" s="1" a="1"/>
  <c r="W116" i="21" a="1"/>
  <c r="N110" i="21"/>
  <c r="O110" i="21" s="1"/>
  <c r="Q110" i="21" s="1"/>
  <c r="N115" i="21"/>
  <c r="N114" i="21"/>
  <c r="O114" i="21" s="1"/>
  <c r="Q114" i="21" s="1"/>
  <c r="N113" i="21"/>
  <c r="O113" i="21" s="1"/>
  <c r="N112" i="21"/>
  <c r="O112" i="21" s="1"/>
  <c r="N109" i="21"/>
  <c r="O109" i="21" s="1"/>
  <c r="N107" i="21"/>
  <c r="N106" i="21"/>
  <c r="O106" i="21" s="1"/>
  <c r="N104" i="21"/>
  <c r="O104" i="21" s="1"/>
  <c r="Q104" i="21" s="1"/>
  <c r="N103" i="21"/>
  <c r="N95" i="21"/>
  <c r="O95" i="21" s="1"/>
  <c r="N92" i="21"/>
  <c r="N85" i="21"/>
  <c r="N82" i="21"/>
  <c r="O82" i="21" s="1"/>
  <c r="N76" i="21"/>
  <c r="N74" i="21"/>
  <c r="N72" i="21"/>
  <c r="N70" i="21"/>
  <c r="N68" i="21"/>
  <c r="N66" i="21"/>
  <c r="N64" i="21"/>
  <c r="N46" i="21"/>
  <c r="N50" i="21"/>
  <c r="N56" i="21"/>
  <c r="N57" i="21"/>
  <c r="N52" i="21"/>
  <c r="N49" i="21"/>
  <c r="N44" i="21"/>
  <c r="N25" i="21"/>
  <c r="N27" i="21"/>
  <c r="N29" i="21"/>
  <c r="N31" i="21"/>
  <c r="N33" i="21"/>
  <c r="N35" i="21"/>
  <c r="N37" i="21"/>
  <c r="P115" i="21"/>
  <c r="P114" i="21"/>
  <c r="P113" i="21"/>
  <c r="P112" i="21"/>
  <c r="P111" i="21"/>
  <c r="N111" i="21"/>
  <c r="P110" i="21"/>
  <c r="P109" i="21"/>
  <c r="P108" i="21"/>
  <c r="N108" i="21"/>
  <c r="P107" i="21"/>
  <c r="P106" i="21"/>
  <c r="P105" i="21"/>
  <c r="N105" i="21"/>
  <c r="P104" i="21"/>
  <c r="P103" i="21"/>
  <c r="P102" i="21"/>
  <c r="N102" i="21"/>
  <c r="P95" i="21"/>
  <c r="P94" i="21"/>
  <c r="N94" i="21"/>
  <c r="P93" i="21"/>
  <c r="N93" i="21"/>
  <c r="P92" i="21"/>
  <c r="P91" i="21"/>
  <c r="N91" i="21"/>
  <c r="P90" i="21"/>
  <c r="N90" i="21"/>
  <c r="O90" i="21" s="1"/>
  <c r="V90" i="21" s="1"/>
  <c r="P89" i="21"/>
  <c r="N89" i="21"/>
  <c r="P88" i="21"/>
  <c r="N88" i="21"/>
  <c r="P87" i="21"/>
  <c r="N87" i="21"/>
  <c r="O87" i="21" s="1"/>
  <c r="P86" i="21"/>
  <c r="N86" i="21"/>
  <c r="P85" i="21"/>
  <c r="P84" i="21"/>
  <c r="N84" i="21"/>
  <c r="O84" i="21" s="1"/>
  <c r="Q84" i="21" s="1"/>
  <c r="P83" i="21"/>
  <c r="N83" i="21"/>
  <c r="P82" i="21"/>
  <c r="P76" i="21"/>
  <c r="P75" i="21"/>
  <c r="N75" i="21"/>
  <c r="P74" i="21"/>
  <c r="P73" i="21"/>
  <c r="N73" i="21"/>
  <c r="P72" i="21"/>
  <c r="P71" i="21"/>
  <c r="N71" i="21"/>
  <c r="P70" i="21"/>
  <c r="P69" i="21"/>
  <c r="N69" i="21"/>
  <c r="P68" i="21"/>
  <c r="P67" i="21"/>
  <c r="N67" i="21"/>
  <c r="P66" i="21"/>
  <c r="P65" i="21"/>
  <c r="N65" i="21"/>
  <c r="P64" i="21"/>
  <c r="P63" i="21"/>
  <c r="N63" i="21"/>
  <c r="P57" i="21"/>
  <c r="P56" i="21"/>
  <c r="P55" i="21"/>
  <c r="N55" i="21"/>
  <c r="P54" i="21"/>
  <c r="N54" i="21"/>
  <c r="P53" i="21"/>
  <c r="N53" i="21"/>
  <c r="P52" i="21"/>
  <c r="P51" i="21"/>
  <c r="N51" i="21"/>
  <c r="P50" i="21"/>
  <c r="P49" i="21"/>
  <c r="P48" i="21"/>
  <c r="N48" i="21"/>
  <c r="P47" i="21"/>
  <c r="N47" i="21"/>
  <c r="P46" i="21"/>
  <c r="P45" i="21"/>
  <c r="N45" i="21"/>
  <c r="P44" i="21"/>
  <c r="P38" i="21"/>
  <c r="N38" i="21"/>
  <c r="O38" i="21" s="1"/>
  <c r="P37" i="21"/>
  <c r="P36" i="21"/>
  <c r="N36" i="21"/>
  <c r="O36" i="21" s="1"/>
  <c r="P35" i="21"/>
  <c r="P34" i="21"/>
  <c r="N34" i="21"/>
  <c r="O34" i="21" s="1"/>
  <c r="P33" i="21"/>
  <c r="P32" i="21"/>
  <c r="N32" i="21"/>
  <c r="O32" i="21" s="1"/>
  <c r="P31" i="21"/>
  <c r="P30" i="21"/>
  <c r="N30" i="21"/>
  <c r="O30" i="21" s="1"/>
  <c r="P29" i="21"/>
  <c r="P28" i="21"/>
  <c r="N28" i="21"/>
  <c r="O28" i="21" s="1"/>
  <c r="P27" i="21"/>
  <c r="P26" i="21"/>
  <c r="N26" i="21"/>
  <c r="O26" i="21" s="1"/>
  <c r="P25" i="21"/>
  <c r="H18" i="22"/>
  <c r="C81" i="22" s="1"/>
  <c r="H17" i="22"/>
  <c r="G15" i="22"/>
  <c r="C57" i="22" s="1"/>
  <c r="H13" i="22"/>
  <c r="C76" i="22" s="1"/>
  <c r="H10" i="22"/>
  <c r="C73" i="22" s="1"/>
  <c r="H9" i="22"/>
  <c r="H6" i="22"/>
  <c r="C69" i="22" s="1"/>
  <c r="H5" i="22"/>
  <c r="C68" i="22" s="1"/>
  <c r="H7" i="22"/>
  <c r="H8" i="22"/>
  <c r="C71" i="22" s="1"/>
  <c r="H11" i="22"/>
  <c r="H12" i="22"/>
  <c r="C75" i="22" s="1"/>
  <c r="H15" i="22"/>
  <c r="C78" i="22" s="1"/>
  <c r="H16" i="22"/>
  <c r="C79" i="22" s="1"/>
  <c r="G6" i="22"/>
  <c r="C48" i="22" s="1"/>
  <c r="G9" i="22"/>
  <c r="C51" i="22" s="1"/>
  <c r="G11" i="22"/>
  <c r="C53" i="22" s="1"/>
  <c r="G7" i="22"/>
  <c r="C49" i="22" s="1"/>
  <c r="G17" i="22"/>
  <c r="C59" i="22" s="1"/>
  <c r="V104" i="21" l="1"/>
  <c r="V110" i="21"/>
  <c r="V113" i="21"/>
  <c r="V114" i="21"/>
  <c r="V106" i="21"/>
  <c r="V109" i="21"/>
  <c r="V112" i="21"/>
  <c r="G57" i="22"/>
  <c r="H57" i="22"/>
  <c r="V36" i="21"/>
  <c r="V84" i="21"/>
  <c r="Q38" i="21"/>
  <c r="O148" i="21" s="1"/>
  <c r="V38" i="21"/>
  <c r="O142" i="21"/>
  <c r="V32" i="21"/>
  <c r="Q28" i="21"/>
  <c r="O138" i="21" s="1"/>
  <c r="V28" i="21"/>
  <c r="Q82" i="21"/>
  <c r="V82" i="21"/>
  <c r="V34" i="21"/>
  <c r="O146" i="21"/>
  <c r="Q30" i="21"/>
  <c r="V30" i="21"/>
  <c r="Q90" i="21"/>
  <c r="Q87" i="21"/>
  <c r="V87" i="21"/>
  <c r="Q95" i="21"/>
  <c r="V95" i="21"/>
  <c r="V26" i="21"/>
  <c r="O94" i="21"/>
  <c r="O92" i="21"/>
  <c r="O91" i="21"/>
  <c r="Q91" i="21" s="1"/>
  <c r="O88" i="21"/>
  <c r="Q88" i="21" s="1"/>
  <c r="O102" i="21"/>
  <c r="V102" i="21" s="1"/>
  <c r="O105" i="21"/>
  <c r="Q105" i="21" s="1"/>
  <c r="O108" i="21"/>
  <c r="O83" i="21"/>
  <c r="Q83" i="21" s="1"/>
  <c r="O86" i="21"/>
  <c r="Q86" i="21" s="1"/>
  <c r="O44" i="21"/>
  <c r="O52" i="21"/>
  <c r="O56" i="21"/>
  <c r="O48" i="21"/>
  <c r="O46" i="21"/>
  <c r="O54" i="21"/>
  <c r="O50" i="21"/>
  <c r="O25" i="21"/>
  <c r="O27" i="21"/>
  <c r="Q27" i="21" s="1"/>
  <c r="O29" i="21"/>
  <c r="O31" i="21"/>
  <c r="O33" i="21"/>
  <c r="O35" i="21"/>
  <c r="O37" i="21"/>
  <c r="O45" i="21"/>
  <c r="O49" i="21"/>
  <c r="O53" i="21"/>
  <c r="O57" i="21"/>
  <c r="O63" i="21"/>
  <c r="O68" i="21"/>
  <c r="O69" i="21"/>
  <c r="O70" i="21"/>
  <c r="Q70" i="21" s="1"/>
  <c r="O73" i="21"/>
  <c r="Q73" i="21" s="1"/>
  <c r="O74" i="21"/>
  <c r="Q74" i="21" s="1"/>
  <c r="O75" i="21"/>
  <c r="O76" i="21"/>
  <c r="O103" i="21"/>
  <c r="O107" i="21"/>
  <c r="Q107" i="21" s="1"/>
  <c r="O111" i="21"/>
  <c r="O115" i="21"/>
  <c r="Q115" i="21" s="1"/>
  <c r="O85" i="21"/>
  <c r="O89" i="21"/>
  <c r="Q89" i="21" s="1"/>
  <c r="O93" i="21"/>
  <c r="Q93" i="21" s="1"/>
  <c r="O64" i="21"/>
  <c r="Q64" i="21" s="1"/>
  <c r="O65" i="21"/>
  <c r="Q65" i="21" s="1"/>
  <c r="O66" i="21"/>
  <c r="O67" i="21"/>
  <c r="Q67" i="21" s="1"/>
  <c r="O71" i="21"/>
  <c r="O72" i="21"/>
  <c r="Q72" i="21" s="1"/>
  <c r="O47" i="21"/>
  <c r="O51" i="21"/>
  <c r="O55" i="21"/>
  <c r="G10" i="22"/>
  <c r="C52" i="22" s="1"/>
  <c r="H14" i="22"/>
  <c r="C77" i="22" s="1"/>
  <c r="C60" i="22"/>
  <c r="G5" i="22"/>
  <c r="C47" i="22" s="1"/>
  <c r="G16" i="22"/>
  <c r="C58" i="22" s="1"/>
  <c r="G14" i="22"/>
  <c r="C56" i="22" s="1"/>
  <c r="C72" i="22"/>
  <c r="G13" i="22"/>
  <c r="C55" i="22" s="1"/>
  <c r="C80" i="22"/>
  <c r="G8" i="22"/>
  <c r="C50" i="22" s="1"/>
  <c r="C70" i="22"/>
  <c r="G12" i="22"/>
  <c r="C54" i="22" s="1"/>
  <c r="C74" i="22"/>
  <c r="I6" i="21"/>
  <c r="J6" i="21" s="1"/>
  <c r="V103" i="21" l="1"/>
  <c r="V105" i="21"/>
  <c r="V115" i="21"/>
  <c r="V111" i="21"/>
  <c r="V107" i="21"/>
  <c r="V108" i="21"/>
  <c r="U96" i="21"/>
  <c r="I60" i="22"/>
  <c r="H60" i="22"/>
  <c r="H55" i="22"/>
  <c r="G55" i="22"/>
  <c r="F54" i="22"/>
  <c r="E54" i="22"/>
  <c r="F56" i="22"/>
  <c r="G56" i="22"/>
  <c r="Q71" i="21"/>
  <c r="V71" i="21"/>
  <c r="U116" i="21"/>
  <c r="Q102" i="21"/>
  <c r="V67" i="21"/>
  <c r="V35" i="21"/>
  <c r="Q66" i="21"/>
  <c r="V66" i="21"/>
  <c r="V68" i="21"/>
  <c r="V33" i="21"/>
  <c r="Q33" i="21"/>
  <c r="V48" i="21"/>
  <c r="V91" i="21"/>
  <c r="V70" i="21"/>
  <c r="Q69" i="21"/>
  <c r="V69" i="21"/>
  <c r="V88" i="21"/>
  <c r="V65" i="21"/>
  <c r="V31" i="21"/>
  <c r="Q37" i="21"/>
  <c r="O147" i="21" s="1"/>
  <c r="V37" i="21"/>
  <c r="V54" i="21"/>
  <c r="Q46" i="21"/>
  <c r="V46" i="21"/>
  <c r="Q63" i="21"/>
  <c r="V63" i="21"/>
  <c r="U77" i="21"/>
  <c r="V56" i="21"/>
  <c r="V92" i="21"/>
  <c r="V55" i="21"/>
  <c r="V64" i="21"/>
  <c r="Q76" i="21"/>
  <c r="V76" i="21"/>
  <c r="Q57" i="21"/>
  <c r="V57" i="21"/>
  <c r="V29" i="21"/>
  <c r="Q52" i="21"/>
  <c r="V52" i="21"/>
  <c r="V86" i="21"/>
  <c r="Q94" i="21"/>
  <c r="V94" i="21"/>
  <c r="Q75" i="21"/>
  <c r="V75" i="21"/>
  <c r="Q44" i="21"/>
  <c r="V44" i="21"/>
  <c r="U58" i="21"/>
  <c r="V51" i="21"/>
  <c r="V93" i="21"/>
  <c r="Q53" i="21"/>
  <c r="V53" i="21"/>
  <c r="V27" i="21"/>
  <c r="O137" i="21"/>
  <c r="V83" i="21"/>
  <c r="W96" i="21" s="1" a="1"/>
  <c r="Q47" i="21"/>
  <c r="V47" i="21"/>
  <c r="V89" i="21"/>
  <c r="V74" i="21"/>
  <c r="V49" i="21"/>
  <c r="V25" i="21"/>
  <c r="U39" i="21"/>
  <c r="O135" i="21"/>
  <c r="V72" i="21"/>
  <c r="Q85" i="21"/>
  <c r="V85" i="21"/>
  <c r="V73" i="21"/>
  <c r="Q45" i="21"/>
  <c r="V45" i="21"/>
  <c r="V50" i="21"/>
  <c r="P19" i="21"/>
  <c r="I19" i="21"/>
  <c r="P18" i="21"/>
  <c r="I18" i="21"/>
  <c r="P17" i="21"/>
  <c r="I17" i="21"/>
  <c r="P16" i="21"/>
  <c r="I16" i="21"/>
  <c r="P15" i="21"/>
  <c r="I15" i="21"/>
  <c r="P14" i="21"/>
  <c r="I14" i="21"/>
  <c r="P13" i="21"/>
  <c r="I13" i="21"/>
  <c r="P12" i="21"/>
  <c r="I12" i="21"/>
  <c r="P11" i="21"/>
  <c r="I11" i="21"/>
  <c r="P10" i="21"/>
  <c r="I10" i="21"/>
  <c r="P9" i="21"/>
  <c r="I9" i="21"/>
  <c r="P8" i="21"/>
  <c r="I8" i="21"/>
  <c r="P7" i="21"/>
  <c r="I7" i="21"/>
  <c r="P6" i="21"/>
  <c r="W116" i="21" l="1"/>
  <c r="W96" i="21"/>
  <c r="S116" i="21"/>
  <c r="S96" i="21"/>
  <c r="Q58" i="21"/>
  <c r="Q39" i="21"/>
  <c r="W39" i="21" a="1"/>
  <c r="W39" i="21" s="1"/>
  <c r="S58" i="21"/>
  <c r="W77" i="21" a="1"/>
  <c r="W77" i="21" s="1"/>
  <c r="S77" i="21"/>
  <c r="S39" i="21"/>
  <c r="W58" i="21" a="1"/>
  <c r="W58" i="21" s="1"/>
  <c r="Q77" i="21"/>
  <c r="J7" i="21"/>
  <c r="J9" i="21"/>
  <c r="J11" i="21"/>
  <c r="J13" i="21"/>
  <c r="J15" i="21"/>
  <c r="J17" i="21"/>
  <c r="J19" i="21"/>
  <c r="Q96" i="21"/>
  <c r="J8" i="21"/>
  <c r="J10" i="21"/>
  <c r="J12" i="21"/>
  <c r="J14" i="21"/>
  <c r="J16" i="21"/>
  <c r="J18" i="21"/>
  <c r="Q116" i="21"/>
  <c r="P115" i="5"/>
  <c r="N115" i="5"/>
  <c r="O115" i="5" s="1"/>
  <c r="P114" i="5"/>
  <c r="N114" i="5"/>
  <c r="O114" i="5" s="1"/>
  <c r="P113" i="5"/>
  <c r="N113" i="5"/>
  <c r="O113" i="5" s="1"/>
  <c r="P112" i="5"/>
  <c r="N112" i="5"/>
  <c r="O112" i="5" s="1"/>
  <c r="P111" i="5"/>
  <c r="N111" i="5"/>
  <c r="O111" i="5" s="1"/>
  <c r="P110" i="5"/>
  <c r="N110" i="5"/>
  <c r="O110" i="5" s="1"/>
  <c r="P109" i="5"/>
  <c r="N109" i="5"/>
  <c r="O109" i="5" s="1"/>
  <c r="P108" i="5"/>
  <c r="N108" i="5"/>
  <c r="O108" i="5" s="1"/>
  <c r="P107" i="5"/>
  <c r="N107" i="5"/>
  <c r="O107" i="5" s="1"/>
  <c r="P106" i="5"/>
  <c r="N106" i="5"/>
  <c r="O106" i="5" s="1"/>
  <c r="P105" i="5"/>
  <c r="N105" i="5"/>
  <c r="O105" i="5" s="1"/>
  <c r="P104" i="5"/>
  <c r="N104" i="5"/>
  <c r="O104" i="5" s="1"/>
  <c r="Q104" i="5" s="1"/>
  <c r="P103" i="5"/>
  <c r="N103" i="5"/>
  <c r="O103" i="5" s="1"/>
  <c r="P102" i="5"/>
  <c r="N102" i="5"/>
  <c r="O102" i="5" s="1"/>
  <c r="P76" i="5"/>
  <c r="N76" i="5"/>
  <c r="O76" i="5" s="1"/>
  <c r="P75" i="5"/>
  <c r="N75" i="5"/>
  <c r="O75" i="5" s="1"/>
  <c r="P74" i="5"/>
  <c r="N74" i="5"/>
  <c r="O74" i="5" s="1"/>
  <c r="P73" i="5"/>
  <c r="N73" i="5"/>
  <c r="O73" i="5" s="1"/>
  <c r="P72" i="5"/>
  <c r="N72" i="5"/>
  <c r="O72" i="5" s="1"/>
  <c r="P71" i="5"/>
  <c r="N71" i="5"/>
  <c r="O71" i="5" s="1"/>
  <c r="P70" i="5"/>
  <c r="N70" i="5"/>
  <c r="O70" i="5" s="1"/>
  <c r="P69" i="5"/>
  <c r="N69" i="5"/>
  <c r="O69" i="5" s="1"/>
  <c r="P68" i="5"/>
  <c r="N68" i="5"/>
  <c r="O68" i="5" s="1"/>
  <c r="P67" i="5"/>
  <c r="N67" i="5"/>
  <c r="O67" i="5" s="1"/>
  <c r="P66" i="5"/>
  <c r="N66" i="5"/>
  <c r="O66" i="5" s="1"/>
  <c r="P65" i="5"/>
  <c r="N65" i="5"/>
  <c r="O65" i="5" s="1"/>
  <c r="P64" i="5"/>
  <c r="N64" i="5"/>
  <c r="O64" i="5" s="1"/>
  <c r="P63" i="5"/>
  <c r="N63" i="5"/>
  <c r="O63" i="5" s="1"/>
  <c r="P57" i="5"/>
  <c r="N57" i="5"/>
  <c r="O57" i="5" s="1"/>
  <c r="P56" i="5"/>
  <c r="N56" i="5"/>
  <c r="O56" i="5" s="1"/>
  <c r="P55" i="5"/>
  <c r="N55" i="5"/>
  <c r="O55" i="5" s="1"/>
  <c r="Q55" i="5" s="1"/>
  <c r="P54" i="5"/>
  <c r="N54" i="5"/>
  <c r="O54" i="5" s="1"/>
  <c r="P53" i="5"/>
  <c r="N53" i="5"/>
  <c r="O53" i="5" s="1"/>
  <c r="Q53" i="5" s="1"/>
  <c r="P52" i="5"/>
  <c r="N52" i="5"/>
  <c r="O52" i="5" s="1"/>
  <c r="Q52" i="5" s="1"/>
  <c r="P51" i="5"/>
  <c r="N51" i="5"/>
  <c r="O51" i="5" s="1"/>
  <c r="Q51" i="5" s="1"/>
  <c r="P50" i="5"/>
  <c r="N50" i="5"/>
  <c r="O50" i="5" s="1"/>
  <c r="P49" i="5"/>
  <c r="N49" i="5"/>
  <c r="O49" i="5" s="1"/>
  <c r="P48" i="5"/>
  <c r="N48" i="5"/>
  <c r="O48" i="5" s="1"/>
  <c r="P47" i="5"/>
  <c r="N47" i="5"/>
  <c r="O47" i="5" s="1"/>
  <c r="P46" i="5"/>
  <c r="N46" i="5"/>
  <c r="O46" i="5" s="1"/>
  <c r="Q46" i="5" s="1"/>
  <c r="P45" i="5"/>
  <c r="N45" i="5"/>
  <c r="O45" i="5" s="1"/>
  <c r="P44" i="5"/>
  <c r="N44" i="5"/>
  <c r="O44" i="5" s="1"/>
  <c r="P95" i="5"/>
  <c r="N95" i="5"/>
  <c r="O95" i="5" s="1"/>
  <c r="P94" i="5"/>
  <c r="N94" i="5"/>
  <c r="O94" i="5" s="1"/>
  <c r="P93" i="5"/>
  <c r="N93" i="5"/>
  <c r="O93" i="5" s="1"/>
  <c r="P92" i="5"/>
  <c r="N92" i="5"/>
  <c r="O92" i="5" s="1"/>
  <c r="P91" i="5"/>
  <c r="N91" i="5"/>
  <c r="O91" i="5" s="1"/>
  <c r="P90" i="5"/>
  <c r="N90" i="5"/>
  <c r="O90" i="5" s="1"/>
  <c r="P89" i="5"/>
  <c r="N89" i="5"/>
  <c r="O89" i="5" s="1"/>
  <c r="P88" i="5"/>
  <c r="N88" i="5"/>
  <c r="O88" i="5" s="1"/>
  <c r="P87" i="5"/>
  <c r="N87" i="5"/>
  <c r="O87" i="5" s="1"/>
  <c r="P86" i="5"/>
  <c r="N86" i="5"/>
  <c r="O86" i="5" s="1"/>
  <c r="P85" i="5"/>
  <c r="N85" i="5"/>
  <c r="O85" i="5" s="1"/>
  <c r="P84" i="5"/>
  <c r="N84" i="5"/>
  <c r="O84" i="5" s="1"/>
  <c r="P83" i="5"/>
  <c r="N83" i="5"/>
  <c r="O83" i="5" s="1"/>
  <c r="P82" i="5"/>
  <c r="N82" i="5"/>
  <c r="O82" i="5" s="1"/>
  <c r="Q45" i="5" l="1"/>
  <c r="P136" i="21" s="1"/>
  <c r="V45" i="5"/>
  <c r="Q65" i="5"/>
  <c r="Q137" i="21" s="1"/>
  <c r="V65" i="5"/>
  <c r="Q76" i="5"/>
  <c r="Q148" i="21" s="1"/>
  <c r="V76" i="5"/>
  <c r="Q75" i="5"/>
  <c r="Q147" i="21" s="1"/>
  <c r="V75" i="5"/>
  <c r="Q74" i="5"/>
  <c r="Q146" i="21" s="1"/>
  <c r="V74" i="5"/>
  <c r="Q73" i="5"/>
  <c r="Q145" i="21" s="1"/>
  <c r="V73" i="5"/>
  <c r="Q72" i="5"/>
  <c r="Q144" i="21" s="1"/>
  <c r="V72" i="5"/>
  <c r="Q71" i="5"/>
  <c r="Q143" i="21" s="1"/>
  <c r="V71" i="5"/>
  <c r="Q70" i="5"/>
  <c r="Q142" i="21" s="1"/>
  <c r="V70" i="5"/>
  <c r="Q69" i="5"/>
  <c r="Q141" i="21" s="1"/>
  <c r="V69" i="5"/>
  <c r="Q68" i="5"/>
  <c r="Q140" i="21" s="1"/>
  <c r="V68" i="5"/>
  <c r="Q67" i="5"/>
  <c r="Q139" i="21" s="1"/>
  <c r="V67" i="5"/>
  <c r="Q66" i="5"/>
  <c r="Q138" i="21" s="1"/>
  <c r="V66" i="5"/>
  <c r="Q64" i="5"/>
  <c r="Q136" i="21" s="1"/>
  <c r="V64" i="5"/>
  <c r="Q63" i="5"/>
  <c r="V63" i="5"/>
  <c r="W77" i="5" s="1" a="1"/>
  <c r="U77" i="5"/>
  <c r="Q115" i="5"/>
  <c r="S148" i="21" s="1"/>
  <c r="V115" i="5"/>
  <c r="Q114" i="5"/>
  <c r="S147" i="21" s="1"/>
  <c r="V114" i="5"/>
  <c r="Q113" i="5"/>
  <c r="S146" i="21" s="1"/>
  <c r="V113" i="5"/>
  <c r="Q112" i="5"/>
  <c r="S145" i="21" s="1"/>
  <c r="V112" i="5"/>
  <c r="Q111" i="5"/>
  <c r="S144" i="21" s="1"/>
  <c r="V111" i="5"/>
  <c r="Q110" i="5"/>
  <c r="S143" i="21" s="1"/>
  <c r="V110" i="5"/>
  <c r="Q109" i="5"/>
  <c r="S142" i="21" s="1"/>
  <c r="V109" i="5"/>
  <c r="Q108" i="5"/>
  <c r="S141" i="21" s="1"/>
  <c r="V108" i="5"/>
  <c r="Q107" i="5"/>
  <c r="S140" i="21" s="1"/>
  <c r="V107" i="5"/>
  <c r="Q106" i="5"/>
  <c r="S139" i="21" s="1"/>
  <c r="V106" i="5"/>
  <c r="Q105" i="5"/>
  <c r="S138" i="21" s="1"/>
  <c r="V105" i="5"/>
  <c r="S137" i="21"/>
  <c r="V104" i="5"/>
  <c r="Q103" i="5"/>
  <c r="S136" i="21" s="1"/>
  <c r="V103" i="5"/>
  <c r="Q102" i="5"/>
  <c r="V102" i="5"/>
  <c r="U116" i="5"/>
  <c r="Q95" i="5"/>
  <c r="R148" i="21" s="1"/>
  <c r="V95" i="5"/>
  <c r="Q94" i="5"/>
  <c r="R147" i="21" s="1"/>
  <c r="V94" i="5"/>
  <c r="Q93" i="5"/>
  <c r="R146" i="21" s="1"/>
  <c r="V93" i="5"/>
  <c r="Q92" i="5"/>
  <c r="R145" i="21" s="1"/>
  <c r="V92" i="5"/>
  <c r="Q91" i="5"/>
  <c r="R144" i="21" s="1"/>
  <c r="V91" i="5"/>
  <c r="Q90" i="5"/>
  <c r="R143" i="21" s="1"/>
  <c r="V90" i="5"/>
  <c r="Q89" i="5"/>
  <c r="R142" i="21" s="1"/>
  <c r="V89" i="5"/>
  <c r="Q88" i="5"/>
  <c r="R141" i="21" s="1"/>
  <c r="V88" i="5"/>
  <c r="Q87" i="5"/>
  <c r="R140" i="21" s="1"/>
  <c r="V87" i="5"/>
  <c r="Q86" i="5"/>
  <c r="R139" i="21" s="1"/>
  <c r="V86" i="5"/>
  <c r="Q85" i="5"/>
  <c r="R138" i="21" s="1"/>
  <c r="V85" i="5"/>
  <c r="Q84" i="5"/>
  <c r="R137" i="21" s="1"/>
  <c r="V84" i="5"/>
  <c r="Q83" i="5"/>
  <c r="R136" i="21" s="1"/>
  <c r="V83" i="5"/>
  <c r="Q82" i="5"/>
  <c r="U96" i="5"/>
  <c r="V82" i="5"/>
  <c r="Q57" i="5"/>
  <c r="P148" i="21" s="1"/>
  <c r="V57" i="5"/>
  <c r="Q56" i="5"/>
  <c r="P147" i="21" s="1"/>
  <c r="V56" i="5"/>
  <c r="P146" i="21"/>
  <c r="V55" i="5"/>
  <c r="Q54" i="5"/>
  <c r="P145" i="21" s="1"/>
  <c r="V54" i="5"/>
  <c r="P144" i="21"/>
  <c r="V53" i="5"/>
  <c r="P143" i="21"/>
  <c r="V52" i="5"/>
  <c r="P142" i="21"/>
  <c r="V51" i="5"/>
  <c r="Q50" i="5"/>
  <c r="P141" i="21" s="1"/>
  <c r="V50" i="5"/>
  <c r="Q49" i="5"/>
  <c r="P140" i="21" s="1"/>
  <c r="V49" i="5"/>
  <c r="Q48" i="5"/>
  <c r="P139" i="21" s="1"/>
  <c r="V48" i="5"/>
  <c r="Q47" i="5"/>
  <c r="P138" i="21" s="1"/>
  <c r="V47" i="5"/>
  <c r="P137" i="21"/>
  <c r="V46" i="5"/>
  <c r="Q44" i="5"/>
  <c r="V44" i="5"/>
  <c r="W58" i="5" s="1" a="1"/>
  <c r="U58" i="5"/>
  <c r="C40" i="14"/>
  <c r="W77" i="5" l="1"/>
  <c r="Q77" i="5"/>
  <c r="S77" i="5"/>
  <c r="Q135" i="21"/>
  <c r="Q116" i="5"/>
  <c r="W116" i="5"/>
  <c r="S116" i="5"/>
  <c r="S135" i="21"/>
  <c r="W96" i="5"/>
  <c r="Q96" i="5"/>
  <c r="S96" i="5"/>
  <c r="R135" i="21"/>
  <c r="W58" i="5"/>
  <c r="Q58" i="5"/>
  <c r="S58" i="5"/>
  <c r="P135" i="21"/>
  <c r="I11" i="1"/>
  <c r="J11" i="1" s="1"/>
  <c r="N25" i="5" l="1"/>
  <c r="O25" i="5" s="1"/>
  <c r="Q25" i="5" s="1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N26" i="5"/>
  <c r="O26" i="5" s="1"/>
  <c r="N27" i="5"/>
  <c r="O27" i="5" s="1"/>
  <c r="Q27" i="5" s="1"/>
  <c r="N28" i="5"/>
  <c r="O28" i="5" s="1"/>
  <c r="Q28" i="5" s="1"/>
  <c r="N29" i="5"/>
  <c r="O29" i="5" s="1"/>
  <c r="V29" i="5" s="1"/>
  <c r="N30" i="5"/>
  <c r="N31" i="5"/>
  <c r="O31" i="5" s="1"/>
  <c r="N32" i="5"/>
  <c r="O32" i="5" s="1"/>
  <c r="Q32" i="5" s="1"/>
  <c r="N33" i="5"/>
  <c r="O33" i="5" s="1"/>
  <c r="N34" i="5"/>
  <c r="O34" i="5" s="1"/>
  <c r="N35" i="5"/>
  <c r="O35" i="5" s="1"/>
  <c r="N36" i="5"/>
  <c r="O36" i="5" s="1"/>
  <c r="Q36" i="5" s="1"/>
  <c r="N37" i="5"/>
  <c r="O37" i="5" s="1"/>
  <c r="Q37" i="5" s="1"/>
  <c r="N38" i="5"/>
  <c r="O38" i="5" s="1"/>
  <c r="Q38" i="5" s="1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6" i="5"/>
  <c r="Q35" i="5" l="1"/>
  <c r="O145" i="21" s="1"/>
  <c r="V35" i="5"/>
  <c r="Q34" i="5"/>
  <c r="O144" i="21" s="1"/>
  <c r="V34" i="5"/>
  <c r="Q33" i="5"/>
  <c r="O143" i="21" s="1"/>
  <c r="V33" i="5"/>
  <c r="Q31" i="5"/>
  <c r="O141" i="21" s="1"/>
  <c r="V31" i="5"/>
  <c r="Q26" i="5"/>
  <c r="V26" i="5"/>
  <c r="O30" i="5"/>
  <c r="Q29" i="5"/>
  <c r="O139" i="21" s="1"/>
  <c r="Q30" i="5" l="1"/>
  <c r="O140" i="21" s="1"/>
  <c r="V30" i="5"/>
  <c r="W39" i="5" s="1"/>
  <c r="U39" i="5"/>
  <c r="S39" i="5"/>
  <c r="O136" i="21"/>
  <c r="Q39" i="5"/>
  <c r="I12" i="4" l="1"/>
  <c r="J12" i="4" s="1"/>
  <c r="I13" i="5" l="1"/>
  <c r="J13" i="5" s="1"/>
  <c r="I16" i="5"/>
  <c r="J16" i="5" l="1"/>
  <c r="I19" i="5" l="1"/>
  <c r="I18" i="5"/>
  <c r="J18" i="5" s="1"/>
  <c r="I17" i="5"/>
  <c r="J17" i="5" s="1"/>
  <c r="I15" i="5"/>
  <c r="I14" i="5"/>
  <c r="J14" i="5" s="1"/>
  <c r="I12" i="5"/>
  <c r="I11" i="5"/>
  <c r="I10" i="5"/>
  <c r="J10" i="5" s="1"/>
  <c r="I9" i="5"/>
  <c r="J9" i="5" s="1"/>
  <c r="I8" i="5"/>
  <c r="I7" i="5"/>
  <c r="I6" i="5"/>
  <c r="J6" i="5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6" i="1"/>
  <c r="J6" i="1" s="1"/>
  <c r="I7" i="1"/>
  <c r="J7" i="1" s="1"/>
  <c r="I8" i="1"/>
  <c r="J8" i="1" s="1"/>
  <c r="I9" i="1"/>
  <c r="J9" i="1" s="1"/>
  <c r="K10" i="21" s="1"/>
  <c r="I10" i="1"/>
  <c r="J10" i="1" s="1"/>
  <c r="I12" i="1"/>
  <c r="J12" i="1" s="1"/>
  <c r="K13" i="21" s="1"/>
  <c r="I13" i="1"/>
  <c r="J13" i="1" s="1"/>
  <c r="K14" i="21" s="1"/>
  <c r="I14" i="1"/>
  <c r="J14" i="1" s="1"/>
  <c r="I15" i="1"/>
  <c r="J15" i="1" s="1"/>
  <c r="I16" i="1"/>
  <c r="J16" i="1" s="1"/>
  <c r="K17" i="21" s="1"/>
  <c r="I17" i="1"/>
  <c r="J17" i="1" s="1"/>
  <c r="I18" i="1"/>
  <c r="J18" i="1" s="1"/>
  <c r="I5" i="4"/>
  <c r="J5" i="4" s="1"/>
  <c r="I5" i="1"/>
  <c r="J5" i="1" s="1"/>
  <c r="N14" i="21" l="1"/>
  <c r="O14" i="21" s="1"/>
  <c r="L14" i="21"/>
  <c r="K5" i="4"/>
  <c r="L5" i="4" s="1"/>
  <c r="D5" i="14" s="1"/>
  <c r="K6" i="21"/>
  <c r="N13" i="21"/>
  <c r="O13" i="21" s="1"/>
  <c r="L13" i="21"/>
  <c r="N10" i="21"/>
  <c r="O10" i="21" s="1"/>
  <c r="L10" i="21"/>
  <c r="K18" i="21"/>
  <c r="K9" i="21"/>
  <c r="N17" i="21"/>
  <c r="O17" i="21" s="1"/>
  <c r="L17" i="21"/>
  <c r="K16" i="21"/>
  <c r="K15" i="5"/>
  <c r="K9" i="5"/>
  <c r="K12" i="5"/>
  <c r="K7" i="5"/>
  <c r="K19" i="5"/>
  <c r="K18" i="5"/>
  <c r="K16" i="5"/>
  <c r="K14" i="5"/>
  <c r="K11" i="5"/>
  <c r="J12" i="5"/>
  <c r="K12" i="21" s="1"/>
  <c r="K10" i="5"/>
  <c r="J15" i="5"/>
  <c r="K15" i="21" s="1"/>
  <c r="J7" i="5"/>
  <c r="K7" i="21" s="1"/>
  <c r="K17" i="5"/>
  <c r="K8" i="5"/>
  <c r="J8" i="5"/>
  <c r="K8" i="21" s="1"/>
  <c r="J19" i="5"/>
  <c r="K19" i="21" s="1"/>
  <c r="K13" i="5"/>
  <c r="F12" i="22" s="1"/>
  <c r="C33" i="22" s="1"/>
  <c r="K12" i="4"/>
  <c r="L12" i="4" s="1"/>
  <c r="D12" i="14" s="1"/>
  <c r="F12" i="14" s="1"/>
  <c r="C33" i="14" s="1"/>
  <c r="J11" i="5"/>
  <c r="K11" i="21" s="1"/>
  <c r="K17" i="4"/>
  <c r="L17" i="4" s="1"/>
  <c r="D17" i="14" s="1"/>
  <c r="F17" i="14" s="1"/>
  <c r="C38" i="14" s="1"/>
  <c r="K7" i="4"/>
  <c r="L7" i="4" s="1"/>
  <c r="D7" i="14" s="1"/>
  <c r="F7" i="14" s="1"/>
  <c r="C28" i="14" s="1"/>
  <c r="K18" i="4"/>
  <c r="L18" i="4" s="1"/>
  <c r="D18" i="14" s="1"/>
  <c r="F18" i="14" s="1"/>
  <c r="C39" i="14" s="1"/>
  <c r="K14" i="4"/>
  <c r="L14" i="4" s="1"/>
  <c r="D14" i="14" s="1"/>
  <c r="F14" i="14" s="1"/>
  <c r="C35" i="14" s="1"/>
  <c r="K10" i="4"/>
  <c r="L10" i="4" s="1"/>
  <c r="D10" i="14" s="1"/>
  <c r="F10" i="14" s="1"/>
  <c r="C31" i="14" s="1"/>
  <c r="K6" i="4"/>
  <c r="L6" i="4" s="1"/>
  <c r="D6" i="14" s="1"/>
  <c r="F6" i="14" s="1"/>
  <c r="C27" i="14" s="1"/>
  <c r="K13" i="4"/>
  <c r="L13" i="4" s="1"/>
  <c r="D13" i="14" s="1"/>
  <c r="F13" i="14" s="1"/>
  <c r="C34" i="14" s="1"/>
  <c r="K9" i="4"/>
  <c r="L9" i="4" s="1"/>
  <c r="D9" i="14" s="1"/>
  <c r="F9" i="14" s="1"/>
  <c r="C30" i="14" s="1"/>
  <c r="K6" i="5"/>
  <c r="F5" i="22" s="1"/>
  <c r="C26" i="22" s="1"/>
  <c r="K16" i="4"/>
  <c r="L16" i="4" s="1"/>
  <c r="D16" i="14" s="1"/>
  <c r="F16" i="14" s="1"/>
  <c r="C37" i="14" s="1"/>
  <c r="K8" i="4"/>
  <c r="L8" i="4" s="1"/>
  <c r="D8" i="14" s="1"/>
  <c r="F8" i="14" s="1"/>
  <c r="C29" i="14" s="1"/>
  <c r="K15" i="4"/>
  <c r="L15" i="4" s="1"/>
  <c r="D15" i="14" s="1"/>
  <c r="F15" i="14" s="1"/>
  <c r="C36" i="14" s="1"/>
  <c r="K11" i="4"/>
  <c r="L11" i="4" s="1"/>
  <c r="D11" i="14" s="1"/>
  <c r="F11" i="14" s="1"/>
  <c r="C32" i="14" s="1"/>
  <c r="G27" i="14" l="1"/>
  <c r="F27" i="14"/>
  <c r="F28" i="14"/>
  <c r="E28" i="14"/>
  <c r="N8" i="21"/>
  <c r="O8" i="21" s="1"/>
  <c r="L8" i="21"/>
  <c r="N19" i="21"/>
  <c r="O19" i="21" s="1"/>
  <c r="L19" i="21"/>
  <c r="N12" i="21"/>
  <c r="O12" i="21" s="1"/>
  <c r="L12" i="21"/>
  <c r="N7" i="21"/>
  <c r="O7" i="21" s="1"/>
  <c r="L7" i="21"/>
  <c r="N11" i="21"/>
  <c r="O11" i="21" s="1"/>
  <c r="L11" i="21"/>
  <c r="N15" i="21"/>
  <c r="O15" i="21" s="1"/>
  <c r="L15" i="21"/>
  <c r="N8" i="5"/>
  <c r="O8" i="5" s="1"/>
  <c r="F7" i="22"/>
  <c r="C28" i="22" s="1"/>
  <c r="N19" i="5"/>
  <c r="O19" i="5" s="1"/>
  <c r="F18" i="22"/>
  <c r="C39" i="22" s="1"/>
  <c r="N7" i="5"/>
  <c r="O7" i="5" s="1"/>
  <c r="F6" i="22"/>
  <c r="C27" i="22" s="1"/>
  <c r="V17" i="21"/>
  <c r="N10" i="5"/>
  <c r="O10" i="5" s="1"/>
  <c r="F9" i="22"/>
  <c r="C30" i="22" s="1"/>
  <c r="N12" i="5"/>
  <c r="O12" i="5" s="1"/>
  <c r="F11" i="22"/>
  <c r="C32" i="22" s="1"/>
  <c r="V13" i="21"/>
  <c r="N11" i="5"/>
  <c r="O11" i="5" s="1"/>
  <c r="F10" i="22"/>
  <c r="C31" i="22" s="1"/>
  <c r="N9" i="5"/>
  <c r="O9" i="5" s="1"/>
  <c r="F8" i="22"/>
  <c r="C29" i="22" s="1"/>
  <c r="N9" i="21"/>
  <c r="O9" i="21" s="1"/>
  <c r="L9" i="21"/>
  <c r="N6" i="21"/>
  <c r="O6" i="21" s="1"/>
  <c r="L6" i="21"/>
  <c r="N15" i="5"/>
  <c r="O15" i="5" s="1"/>
  <c r="F14" i="22"/>
  <c r="C35" i="22" s="1"/>
  <c r="N18" i="21"/>
  <c r="O18" i="21" s="1"/>
  <c r="L18" i="21"/>
  <c r="N14" i="5"/>
  <c r="O14" i="5" s="1"/>
  <c r="F13" i="22"/>
  <c r="C34" i="22" s="1"/>
  <c r="N16" i="5"/>
  <c r="O16" i="5" s="1"/>
  <c r="F15" i="22"/>
  <c r="C36" i="22" s="1"/>
  <c r="N16" i="21"/>
  <c r="O16" i="21" s="1"/>
  <c r="L16" i="21"/>
  <c r="V10" i="21"/>
  <c r="V14" i="21"/>
  <c r="Q14" i="21"/>
  <c r="N17" i="5"/>
  <c r="O17" i="5" s="1"/>
  <c r="F16" i="22"/>
  <c r="C37" i="22" s="1"/>
  <c r="N18" i="5"/>
  <c r="O18" i="5" s="1"/>
  <c r="F17" i="22"/>
  <c r="C38" i="22" s="1"/>
  <c r="F5" i="14"/>
  <c r="C26" i="14" s="1"/>
  <c r="L9" i="5"/>
  <c r="E8" i="14" s="1"/>
  <c r="L18" i="5"/>
  <c r="E17" i="14" s="1"/>
  <c r="L10" i="5"/>
  <c r="E9" i="14" s="1"/>
  <c r="L12" i="5"/>
  <c r="E11" i="14" s="1"/>
  <c r="L14" i="5"/>
  <c r="E13" i="14" s="1"/>
  <c r="L17" i="5"/>
  <c r="E16" i="14" s="1"/>
  <c r="L7" i="5"/>
  <c r="E6" i="14" s="1"/>
  <c r="L19" i="5"/>
  <c r="E18" i="14" s="1"/>
  <c r="H18" i="14" s="1"/>
  <c r="C81" i="14" s="1"/>
  <c r="L15" i="5"/>
  <c r="E14" i="14" s="1"/>
  <c r="L11" i="5"/>
  <c r="E10" i="14" s="1"/>
  <c r="L16" i="5"/>
  <c r="E15" i="14" s="1"/>
  <c r="H15" i="14" s="1"/>
  <c r="C78" i="14" s="1"/>
  <c r="L8" i="5"/>
  <c r="E7" i="14" s="1"/>
  <c r="L6" i="5"/>
  <c r="E5" i="14" s="1"/>
  <c r="N6" i="5"/>
  <c r="O6" i="5" s="1"/>
  <c r="N13" i="5"/>
  <c r="O13" i="5" s="1"/>
  <c r="L13" i="5"/>
  <c r="E12" i="14" s="1"/>
  <c r="H26" i="14" l="1"/>
  <c r="I26" i="14"/>
  <c r="Q19" i="5"/>
  <c r="V19" i="5"/>
  <c r="Q17" i="5"/>
  <c r="N146" i="21" s="1"/>
  <c r="V17" i="5"/>
  <c r="Q16" i="5"/>
  <c r="V16" i="5"/>
  <c r="Q15" i="5"/>
  <c r="V15" i="5"/>
  <c r="Q14" i="5"/>
  <c r="N143" i="21" s="1"/>
  <c r="V14" i="5"/>
  <c r="Q13" i="5"/>
  <c r="N142" i="21" s="1"/>
  <c r="V13" i="5"/>
  <c r="Q12" i="5"/>
  <c r="V12" i="5"/>
  <c r="Q11" i="5"/>
  <c r="V11" i="5"/>
  <c r="Q10" i="5"/>
  <c r="N139" i="21" s="1"/>
  <c r="V10" i="5"/>
  <c r="Q9" i="5"/>
  <c r="V9" i="5"/>
  <c r="Q8" i="5"/>
  <c r="V8" i="5"/>
  <c r="Q7" i="5"/>
  <c r="V7" i="5"/>
  <c r="Q6" i="5"/>
  <c r="V6" i="5"/>
  <c r="W20" i="5" s="1" a="1"/>
  <c r="Q18" i="5"/>
  <c r="U20" i="5"/>
  <c r="V18" i="5"/>
  <c r="V18" i="21"/>
  <c r="V7" i="21"/>
  <c r="V16" i="21"/>
  <c r="V12" i="21"/>
  <c r="V6" i="21"/>
  <c r="U20" i="21"/>
  <c r="Q6" i="21"/>
  <c r="V15" i="21"/>
  <c r="Q19" i="21"/>
  <c r="V19" i="21"/>
  <c r="Q9" i="21"/>
  <c r="V9" i="21"/>
  <c r="Q11" i="21"/>
  <c r="V11" i="21"/>
  <c r="V8" i="21"/>
  <c r="H6" i="14"/>
  <c r="C69" i="14" s="1"/>
  <c r="G5" i="14"/>
  <c r="G17" i="14"/>
  <c r="H16" i="14"/>
  <c r="C79" i="14" s="1"/>
  <c r="H7" i="14"/>
  <c r="C70" i="14" s="1"/>
  <c r="G8" i="14"/>
  <c r="H11" i="14"/>
  <c r="C74" i="14" s="1"/>
  <c r="G12" i="14"/>
  <c r="H13" i="14"/>
  <c r="C76" i="14" s="1"/>
  <c r="G14" i="14"/>
  <c r="H9" i="14"/>
  <c r="C72" i="14" s="1"/>
  <c r="G10" i="14"/>
  <c r="G7" i="14"/>
  <c r="H12" i="14"/>
  <c r="C75" i="14" s="1"/>
  <c r="G11" i="14"/>
  <c r="H10" i="14"/>
  <c r="C73" i="14" s="1"/>
  <c r="G18" i="14"/>
  <c r="H17" i="14"/>
  <c r="C80" i="14" s="1"/>
  <c r="G16" i="14"/>
  <c r="G6" i="14"/>
  <c r="H5" i="14"/>
  <c r="C68" i="14" s="1"/>
  <c r="G15" i="14"/>
  <c r="H14" i="14"/>
  <c r="C77" i="14" s="1"/>
  <c r="G13" i="14"/>
  <c r="G9" i="14"/>
  <c r="H8" i="14"/>
  <c r="C71" i="14" s="1"/>
  <c r="N144" i="21" l="1"/>
  <c r="N148" i="21"/>
  <c r="N145" i="21"/>
  <c r="Q20" i="5"/>
  <c r="W20" i="5"/>
  <c r="N141" i="21"/>
  <c r="N140" i="21"/>
  <c r="N138" i="21"/>
  <c r="N137" i="21"/>
  <c r="N136" i="21"/>
  <c r="N135" i="21"/>
  <c r="S20" i="5"/>
  <c r="N147" i="21"/>
  <c r="S20" i="21"/>
  <c r="Q20" i="21"/>
  <c r="W20" i="21" a="1"/>
  <c r="W20" i="21" s="1"/>
</calcChain>
</file>

<file path=xl/comments1.xml><?xml version="1.0" encoding="utf-8"?>
<comments xmlns="http://schemas.openxmlformats.org/spreadsheetml/2006/main">
  <authors>
    <author>ismail - [2010]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Akhmad Ramadhani - [2014]: Gangguan Pembangkit Unit # 2 PLTU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</rPr>
          <t>Akhmad Ramadhani - [2014]: Maintenace Unit Pembangkit # 1 PLTU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ismail - [2010]</author>
  </authors>
  <commentList>
    <comment ref="C15" authorId="0" shapeId="0">
      <text>
        <r>
          <rPr>
            <b/>
            <sz val="9"/>
            <color indexed="81"/>
            <rFont val="Tahoma"/>
            <family val="2"/>
          </rPr>
          <t>Akhmad Ramadhani - [2014]: Maintenace Unit Pembangkit # 1 PLTU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<sst xmlns="http://schemas.openxmlformats.org/spreadsheetml/2006/main" count="1742" uniqueCount="259">
  <si>
    <t>Kelompok</t>
  </si>
  <si>
    <t>Nama Hari Libur</t>
  </si>
  <si>
    <t>Tanggal</t>
  </si>
  <si>
    <t>H-4</t>
  </si>
  <si>
    <t>H-3</t>
  </si>
  <si>
    <t>H-2</t>
  </si>
  <si>
    <t>H-1</t>
  </si>
  <si>
    <t>H</t>
  </si>
  <si>
    <t>Hari Ke</t>
  </si>
  <si>
    <t xml:space="preserve">Hari </t>
  </si>
  <si>
    <t>Output</t>
  </si>
  <si>
    <t xml:space="preserve"> Forecast</t>
  </si>
  <si>
    <t>Forecast</t>
  </si>
  <si>
    <t xml:space="preserve">Peramalan </t>
  </si>
  <si>
    <t>Aktual</t>
  </si>
  <si>
    <t>Error</t>
  </si>
  <si>
    <t>(%)</t>
  </si>
  <si>
    <t>Hari Libur</t>
  </si>
  <si>
    <t>Umum</t>
  </si>
  <si>
    <t>1.Tahun Baru Masehi</t>
  </si>
  <si>
    <t>2.Proklamasi Kemerdekaan RI</t>
  </si>
  <si>
    <t>Hari Raya</t>
  </si>
  <si>
    <t>Islam</t>
  </si>
  <si>
    <t>1.Idul Adha</t>
  </si>
  <si>
    <t>2.Tahun Baru Hijriyah</t>
  </si>
  <si>
    <t>3.Maulid Nabi Muhammad SAW</t>
  </si>
  <si>
    <t>4.Isra Mi'raj</t>
  </si>
  <si>
    <t>Kristen</t>
  </si>
  <si>
    <t>1.Wafatnya Yesus Kristus</t>
  </si>
  <si>
    <t>2.Kenaikan Yesus Kristus</t>
  </si>
  <si>
    <t>1.Nyepi</t>
  </si>
  <si>
    <t>Budha/</t>
  </si>
  <si>
    <t>Tionghoa</t>
  </si>
  <si>
    <t>1.Tahun Baru Imlek</t>
  </si>
  <si>
    <t>2.Waisak</t>
  </si>
  <si>
    <t>5.Idul Fitri I</t>
  </si>
  <si>
    <t>6.Idul Fitri II</t>
  </si>
  <si>
    <t>Input</t>
  </si>
  <si>
    <t>X</t>
  </si>
  <si>
    <t>Y</t>
  </si>
  <si>
    <t>Z</t>
  </si>
  <si>
    <r>
      <t>VLD</t>
    </r>
    <r>
      <rPr>
        <vertAlign val="subscript"/>
        <sz val="12"/>
        <color theme="1"/>
        <rFont val="Times New Roman"/>
        <family val="1"/>
      </rPr>
      <t>MAX</t>
    </r>
  </si>
  <si>
    <t>NVB</t>
  </si>
  <si>
    <t>NB</t>
  </si>
  <si>
    <t>NM</t>
  </si>
  <si>
    <t>Nilai</t>
  </si>
  <si>
    <t>NS</t>
  </si>
  <si>
    <t>NVS</t>
  </si>
  <si>
    <t>ZE</t>
  </si>
  <si>
    <t>PVS</t>
  </si>
  <si>
    <t>PS</t>
  </si>
  <si>
    <t>PM</t>
  </si>
  <si>
    <t>PB</t>
  </si>
  <si>
    <t>PVB</t>
  </si>
  <si>
    <t>Derajat Keanggotaan (μ)</t>
  </si>
  <si>
    <t>Himpunan</t>
  </si>
  <si>
    <t>1.Wafatnya Isa Almasih</t>
  </si>
  <si>
    <t>2.Kenaikan Isa Almasih</t>
  </si>
  <si>
    <t>3.Natal</t>
  </si>
  <si>
    <r>
      <t>WD</t>
    </r>
    <r>
      <rPr>
        <i/>
        <sz val="8"/>
        <color theme="1"/>
        <rFont val="Times New Roman"/>
        <family val="1"/>
      </rPr>
      <t>MAX</t>
    </r>
  </si>
  <si>
    <r>
      <t>LD</t>
    </r>
    <r>
      <rPr>
        <i/>
        <sz val="8"/>
        <color theme="1"/>
        <rFont val="Times New Roman"/>
        <family val="1"/>
      </rPr>
      <t>MAX</t>
    </r>
  </si>
  <si>
    <r>
      <t>VLD</t>
    </r>
    <r>
      <rPr>
        <i/>
        <sz val="8"/>
        <color theme="1"/>
        <rFont val="Times New Roman"/>
        <family val="1"/>
      </rPr>
      <t>MAX</t>
    </r>
  </si>
  <si>
    <r>
      <t>TLD</t>
    </r>
    <r>
      <rPr>
        <i/>
        <sz val="8"/>
        <color theme="1"/>
        <rFont val="Times New Roman"/>
        <family val="1"/>
      </rPr>
      <t>MAX</t>
    </r>
  </si>
  <si>
    <t>Hindu /</t>
  </si>
  <si>
    <t>2.Tahun Baru Imlek</t>
  </si>
  <si>
    <t>3.Waisak</t>
  </si>
  <si>
    <t>X/Y</t>
  </si>
  <si>
    <t>No.</t>
  </si>
  <si>
    <t>Aturan</t>
  </si>
  <si>
    <t>Antecendent</t>
  </si>
  <si>
    <t>Consequen</t>
  </si>
  <si>
    <t>Rabu / 17 Agustus</t>
  </si>
  <si>
    <t>Minggu / 25 Desember</t>
  </si>
  <si>
    <t>Senin / 17 Agustus</t>
  </si>
  <si>
    <t>Jumat / 25 Desember</t>
  </si>
  <si>
    <t>Selasa / 01 Januari</t>
  </si>
  <si>
    <t>Jumat / 01 Januari</t>
  </si>
  <si>
    <t>Kamis / 13 Mei</t>
  </si>
  <si>
    <t>Selasa / 17 Agustus</t>
  </si>
  <si>
    <t>Sabtu / 01 Januari</t>
  </si>
  <si>
    <t>Minggu / 17 Agustus</t>
  </si>
  <si>
    <t>Senin / 08 Desember</t>
  </si>
  <si>
    <t xml:space="preserve">2.Tahun Baru Hijriyah </t>
  </si>
  <si>
    <t>Kamis / 10 Januari</t>
  </si>
  <si>
    <t>Kamis / 20 Maret</t>
  </si>
  <si>
    <t>Rabu / 30 Juli</t>
  </si>
  <si>
    <t>Rabu / 01 Oktober</t>
  </si>
  <si>
    <t>Kamis / 02 Oktober</t>
  </si>
  <si>
    <t>Jumat / 21 Maret</t>
  </si>
  <si>
    <t>Kamis / 01 Mei</t>
  </si>
  <si>
    <t>Kamis / 25 Desember</t>
  </si>
  <si>
    <t>Jumat / 07 Maret</t>
  </si>
  <si>
    <t>Kamis / 07 Februari</t>
  </si>
  <si>
    <t>Selasa / 20 Mei</t>
  </si>
  <si>
    <t>Forecasting menggunakan Fuzzy Type 1 Inference system</t>
  </si>
  <si>
    <t>Forecasting menggunakan Interval Type 2 Fuzzy Inference system</t>
  </si>
  <si>
    <t>MAPE</t>
  </si>
  <si>
    <t>Idul Adha</t>
  </si>
  <si>
    <t>Isra Mi'raj</t>
  </si>
  <si>
    <t>Idul Fitri II</t>
  </si>
  <si>
    <t>Idul Fitri I</t>
  </si>
  <si>
    <t>Waisak</t>
  </si>
  <si>
    <r>
      <t>Pembuatan tabel input (X,Y) dan output (Z) berdasarkan VLD</t>
    </r>
    <r>
      <rPr>
        <b/>
        <sz val="8"/>
        <color theme="1"/>
        <rFont val="Times New Roman"/>
        <family val="1"/>
      </rPr>
      <t>MAX</t>
    </r>
    <r>
      <rPr>
        <b/>
        <sz val="11"/>
        <color theme="1"/>
        <rFont val="Times New Roman"/>
        <family val="1"/>
      </rPr>
      <t xml:space="preserve"> tahun 2023</t>
    </r>
  </si>
  <si>
    <t>Tabel rules base untuk tahun peramalan tahun 2023</t>
  </si>
  <si>
    <t>Jumat / 31 Juli</t>
  </si>
  <si>
    <t>Kamis / 20 Agustus</t>
  </si>
  <si>
    <t>Kamis / 29 Oktober</t>
  </si>
  <si>
    <t xml:space="preserve">Minggu / 22 Maret </t>
  </si>
  <si>
    <t>Minggu / 24 Mei</t>
  </si>
  <si>
    <t>Senin / 25 Mei</t>
  </si>
  <si>
    <t>Jumat/ 10 April</t>
  </si>
  <si>
    <t>Kamis/ 21 Mei</t>
  </si>
  <si>
    <t>Rabu  / 25 Maret</t>
  </si>
  <si>
    <t>Sabtu / 25 Januari</t>
  </si>
  <si>
    <t>Kamis / 07 Mei</t>
  </si>
  <si>
    <t>Rabu/ 01 Januari</t>
  </si>
  <si>
    <t>Selasa / 20 Juli</t>
  </si>
  <si>
    <t>Selasa / 10 Agustus</t>
  </si>
  <si>
    <t>Jumat / 12 Februari</t>
  </si>
  <si>
    <t>Kamis / 11 Maret</t>
  </si>
  <si>
    <t>Minggu / 14 Maret</t>
  </si>
  <si>
    <t>Rabu / 26 Mei</t>
  </si>
  <si>
    <t>Selasa / 19 Oktober</t>
  </si>
  <si>
    <t>Jumat / 09 Juli</t>
  </si>
  <si>
    <t>Sabtu / 30 Juli</t>
  </si>
  <si>
    <t>Senin / 28 Februari</t>
  </si>
  <si>
    <t>Senin / 02 Mei</t>
  </si>
  <si>
    <t>Selasa / 03 Mei</t>
  </si>
  <si>
    <t>Jumat / 15 April</t>
  </si>
  <si>
    <t>Kamis / 26 Mei</t>
  </si>
  <si>
    <t>Kamis / 03 Maret</t>
  </si>
  <si>
    <t>Selasa / 01 Februari</t>
  </si>
  <si>
    <t>Senin / 16 Mei</t>
  </si>
  <si>
    <t>Senin / 25 Desember</t>
  </si>
  <si>
    <t>Jumat / 14 Mei</t>
  </si>
  <si>
    <t>Jumat / 2 April</t>
  </si>
  <si>
    <t>Sabtu / 08 Oktober</t>
  </si>
  <si>
    <t>Pembentukan Aturan Dasar (Rule Base) Untuk Input X tahun 2023</t>
  </si>
  <si>
    <t>Pembentukan Aturan Dasar Untuk Input Y tahun 2023</t>
  </si>
  <si>
    <t>Pembentukan Aturan Dasar Untuk Input Z tahun 2023</t>
  </si>
  <si>
    <t>Minggu / 01 Januari</t>
  </si>
  <si>
    <t>Kamis / 17 Agustus</t>
  </si>
  <si>
    <t>Kamis / 29 Juni</t>
  </si>
  <si>
    <t>Rabu / 19 Juli</t>
  </si>
  <si>
    <t>Kamis / 28 September</t>
  </si>
  <si>
    <t>Sabtu / 18 Februari</t>
  </si>
  <si>
    <t>Sabtu / 22 April</t>
  </si>
  <si>
    <t>Minggu / 23 April</t>
  </si>
  <si>
    <t>Jumat / 07 April</t>
  </si>
  <si>
    <t>Kamis / 18 Mei</t>
  </si>
  <si>
    <t>Rabu / 22 Maret</t>
  </si>
  <si>
    <t>Minggu / 22 Januari</t>
  </si>
  <si>
    <t>Minggu / 04 Juni</t>
  </si>
  <si>
    <t>Konsumsi Beban RSUD ULIN Hari-hari Libur Tahun 2020</t>
  </si>
  <si>
    <t>Konsumsi Beban RSUD ULIN Hari-hari Libur Tahun 2021</t>
  </si>
  <si>
    <t>Konsumsi Beban RSUD ULIN Hari-hari Libur Tahun 2022</t>
  </si>
  <si>
    <t>Prediksi Konsumsi Beban RSUD ULIN Hari-hari Libur Tahun 2023</t>
  </si>
  <si>
    <t>New Year</t>
  </si>
  <si>
    <t>Independence Day</t>
  </si>
  <si>
    <t>Islamic New Year</t>
  </si>
  <si>
    <t xml:space="preserve">Maulid </t>
  </si>
  <si>
    <t>Good Friday</t>
  </si>
  <si>
    <t>Ascention</t>
  </si>
  <si>
    <t>Crismas</t>
  </si>
  <si>
    <t>Silent Day</t>
  </si>
  <si>
    <t xml:space="preserve">Imlek </t>
  </si>
  <si>
    <r>
      <t>P'</t>
    </r>
    <r>
      <rPr>
        <i/>
        <sz val="8"/>
        <color theme="1"/>
        <rFont val="Times New Roman"/>
        <family val="1"/>
      </rPr>
      <t>MAX</t>
    </r>
    <r>
      <rPr>
        <i/>
        <sz val="12"/>
        <color theme="1"/>
        <rFont val="Times New Roman"/>
        <family val="1"/>
      </rPr>
      <t>(Watthours)</t>
    </r>
  </si>
  <si>
    <t>(Watthours)</t>
  </si>
  <si>
    <t>Forecasting menggunakan Fuzzytype2-Firefly Algorithm</t>
  </si>
  <si>
    <t>IT2FIS-BBBC</t>
  </si>
  <si>
    <t>IT2FIS-FA</t>
  </si>
  <si>
    <t>IT2FIS-CSO</t>
  </si>
  <si>
    <t>Fuzzy Type -1</t>
  </si>
  <si>
    <t>Interval Type-2 FIS</t>
  </si>
  <si>
    <t>Sabtu / 17 Agustus</t>
  </si>
  <si>
    <t>Senin / 17 Juni</t>
  </si>
  <si>
    <t>Minggu / 07 Juli</t>
  </si>
  <si>
    <t>Prediksi Konsumsi Beban RSUD ULIN Hari-hari Libur Tahun 2024</t>
  </si>
  <si>
    <t>Senin / 01 Januari</t>
  </si>
  <si>
    <t>Senin / 16 September</t>
  </si>
  <si>
    <t>Sabtu / 10 April</t>
  </si>
  <si>
    <t>Kamis / 08 Februari</t>
  </si>
  <si>
    <t>Minggu / 11 April</t>
  </si>
  <si>
    <t>Jumat / 29 Maret</t>
  </si>
  <si>
    <t>Kamis / 09 Mei</t>
  </si>
  <si>
    <t>Senin / 11 Maret</t>
  </si>
  <si>
    <t>Sabtu / 10 Pebruari</t>
  </si>
  <si>
    <t>Kamis / 23 Mei</t>
  </si>
  <si>
    <r>
      <t>Pembuatan tabel input (X,Y) dan output (Z) berdasarkan VLD</t>
    </r>
    <r>
      <rPr>
        <b/>
        <sz val="8"/>
        <color theme="1"/>
        <rFont val="Times New Roman"/>
        <family val="1"/>
      </rPr>
      <t>MAX</t>
    </r>
    <r>
      <rPr>
        <b/>
        <sz val="11"/>
        <color theme="1"/>
        <rFont val="Times New Roman"/>
        <family val="1"/>
      </rPr>
      <t xml:space="preserve"> tahun 2024</t>
    </r>
  </si>
  <si>
    <t>Pembentukan Aturan Dasar (Rule Base) Untuk Input X tahun 2024</t>
  </si>
  <si>
    <t xml:space="preserve">      </t>
  </si>
  <si>
    <t>Pembentukan Aturan Dasar Untuk Input Y tahun 2024</t>
  </si>
  <si>
    <t>Pembentukan Aturan Dasar Untuk Input Z tahun 2024</t>
  </si>
  <si>
    <t>Tabel rules base untuk tahun peramalan tahun 2024</t>
  </si>
  <si>
    <t>Forecasting menggunakan Fuzzytype2-Orangutan Optimization Algorithm (OOA)</t>
  </si>
  <si>
    <t>Forecasting menggunakan Fuzzytype2-FA</t>
  </si>
  <si>
    <t>Forecasting menggunakan Fuzzytype2-CSA</t>
  </si>
  <si>
    <t>IT2FIS-OOA</t>
  </si>
  <si>
    <t>RMSE</t>
  </si>
  <si>
    <t>R2</t>
  </si>
  <si>
    <t>MAE</t>
  </si>
  <si>
    <t xml:space="preserve">    </t>
  </si>
  <si>
    <t xml:space="preserve"> </t>
  </si>
  <si>
    <t>No</t>
  </si>
  <si>
    <t>IT2FIS-CSA</t>
  </si>
  <si>
    <t>Interval Type-2 FLS</t>
  </si>
  <si>
    <t>IT2FLS-BBBC</t>
  </si>
  <si>
    <t>1.05E-05</t>
  </si>
  <si>
    <t>3.09E-03</t>
  </si>
  <si>
    <t>4.63E-10</t>
  </si>
  <si>
    <t>1.24E-44</t>
  </si>
  <si>
    <t>2.64E-01</t>
  </si>
  <si>
    <t>1.60E+03</t>
  </si>
  <si>
    <t>8.05E-03</t>
  </si>
  <si>
    <t>7.02E+03</t>
  </si>
  <si>
    <t>3.87E+01</t>
  </si>
  <si>
    <t>4.39E+01</t>
  </si>
  <si>
    <t>3.86E-10</t>
  </si>
  <si>
    <t>3.50E-29</t>
  </si>
  <si>
    <t>2.79E-04</t>
  </si>
  <si>
    <t>9.49E+03</t>
  </si>
  <si>
    <t>9.61E-03</t>
  </si>
  <si>
    <t>1.74E+04</t>
  </si>
  <si>
    <t>-5.50E+03</t>
  </si>
  <si>
    <t>-8.44E+03</t>
  </si>
  <si>
    <t>-5.96E+03</t>
  </si>
  <si>
    <t>-4.22E+03</t>
  </si>
  <si>
    <t>3.18E+02</t>
  </si>
  <si>
    <t>3.42E+02</t>
  </si>
  <si>
    <t>7.84E+02</t>
  </si>
  <si>
    <t>6.83E+02</t>
  </si>
  <si>
    <t>3.65E+00</t>
  </si>
  <si>
    <t>3.71E+00</t>
  </si>
  <si>
    <t>3.80E+00</t>
  </si>
  <si>
    <t>2.97E+00</t>
  </si>
  <si>
    <t>1.00E+08</t>
  </si>
  <si>
    <t>3.65E+07</t>
  </si>
  <si>
    <t>1.91E+08</t>
  </si>
  <si>
    <t>2.48E+08</t>
  </si>
  <si>
    <t>3.60E-02</t>
  </si>
  <si>
    <t>5.91E-04</t>
  </si>
  <si>
    <t>7.81E-04</t>
  </si>
  <si>
    <t>4.40E-04</t>
  </si>
  <si>
    <t>2.26E-02</t>
  </si>
  <si>
    <t>1.13E-02</t>
  </si>
  <si>
    <t>3.38E-03</t>
  </si>
  <si>
    <t>1.94E-02</t>
  </si>
  <si>
    <t>-1.02E+00</t>
  </si>
  <si>
    <t>-1.03E+00</t>
  </si>
  <si>
    <t>9.92E-02</t>
  </si>
  <si>
    <t>1.15E-01</t>
  </si>
  <si>
    <t>1.17E-02</t>
  </si>
  <si>
    <t>1.85E-01</t>
  </si>
  <si>
    <t>Forecasting menggunakan Fuzzytype2-ZOA</t>
  </si>
  <si>
    <t>Actual</t>
  </si>
  <si>
    <t>Type-1</t>
  </si>
  <si>
    <t>IT2-FIS</t>
  </si>
  <si>
    <t>IT2FIS-ZOA</t>
  </si>
  <si>
    <t>HASIL FORCASTING VLD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</si>
</sst>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_-;\-* #,##0.00_-;_-* &quot;-&quot;??_-;_-@_-"/>
    <numFmt numFmtId="165" formatCode="#,##0.0000"/>
    <numFmt numFmtId="166" formatCode="0.0000"/>
    <numFmt numFmtId="167" formatCode="0.000"/>
    <numFmt numFmtId="168" formatCode="_-* #,##0.0000_-;\-* #,##0.0000_-;_-* &quot;-&quot;??_-;_-@_-"/>
    <numFmt numFmtId="169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70C0"/>
      <name val="Cambria"/>
      <family val="1"/>
      <scheme val="major"/>
    </font>
    <font>
      <b/>
      <sz val="12"/>
      <color theme="1"/>
      <name val="Times New Roman"/>
      <family val="1"/>
    </font>
    <font>
      <b/>
      <sz val="12"/>
      <color theme="4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10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6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/>
    <xf numFmtId="2" fontId="1" fillId="0" borderId="1" xfId="0" applyNumberFormat="1" applyFont="1" applyBorder="1"/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165" fontId="1" fillId="0" borderId="1" xfId="0" applyNumberFormat="1" applyFont="1" applyBorder="1"/>
    <xf numFmtId="166" fontId="1" fillId="0" borderId="1" xfId="0" applyNumberFormat="1" applyFont="1" applyBorder="1"/>
    <xf numFmtId="167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/>
    <xf numFmtId="0" fontId="11" fillId="0" borderId="0" xfId="0" applyFont="1"/>
    <xf numFmtId="168" fontId="1" fillId="0" borderId="1" xfId="1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13" fillId="0" borderId="0" xfId="0" applyFont="1"/>
    <xf numFmtId="0" fontId="10" fillId="0" borderId="1" xfId="0" applyFont="1" applyBorder="1"/>
    <xf numFmtId="169" fontId="1" fillId="0" borderId="1" xfId="1" applyNumberFormat="1" applyFont="1" applyBorder="1"/>
    <xf numFmtId="0" fontId="0" fillId="0" borderId="1" xfId="0" applyBorder="1" applyAlignment="1">
      <alignment horizontal="center"/>
    </xf>
    <xf numFmtId="0" fontId="14" fillId="0" borderId="0" xfId="0" applyFont="1"/>
    <xf numFmtId="11" fontId="15" fillId="0" borderId="12" xfId="0" applyNumberFormat="1" applyFont="1" applyBorder="1" applyAlignment="1">
      <alignment horizontal="center" vertical="center" wrapText="1"/>
    </xf>
    <xf numFmtId="11" fontId="15" fillId="0" borderId="13" xfId="0" applyNumberFormat="1" applyFont="1" applyBorder="1" applyAlignment="1">
      <alignment horizontal="center" vertical="center" wrapText="1"/>
    </xf>
    <xf numFmtId="11" fontId="16" fillId="0" borderId="13" xfId="0" applyNumberFormat="1" applyFont="1" applyBorder="1" applyAlignment="1">
      <alignment horizontal="center" vertical="center" wrapText="1"/>
    </xf>
    <xf numFmtId="11" fontId="15" fillId="0" borderId="14" xfId="0" applyNumberFormat="1" applyFont="1" applyBorder="1" applyAlignment="1">
      <alignment horizontal="center" vertical="center" wrapText="1"/>
    </xf>
    <xf numFmtId="11" fontId="15" fillId="0" borderId="15" xfId="0" applyNumberFormat="1" applyFont="1" applyBorder="1" applyAlignment="1">
      <alignment horizontal="center" vertical="center" wrapText="1"/>
    </xf>
    <xf numFmtId="11" fontId="16" fillId="0" borderId="15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17" fillId="0" borderId="1" xfId="0" applyNumberFormat="1" applyFont="1" applyBorder="1"/>
    <xf numFmtId="0" fontId="1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7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/>
    <xf numFmtId="0" fontId="18" fillId="0" borderId="0" xfId="0" applyFont="1"/>
    <xf numFmtId="0" fontId="18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>
                <a:latin typeface="+mj-lt"/>
              </a:rPr>
              <a:t>Error Prediction Load Consumption for Healtcare Facilities</a:t>
            </a:r>
            <a:endParaRPr lang="en-US" sz="1400" baseline="0">
              <a:latin typeface="+mj-lt"/>
            </a:endParaRPr>
          </a:p>
          <a:p>
            <a:pPr>
              <a:defRPr/>
            </a:pPr>
            <a:r>
              <a:rPr lang="en-US" sz="1400" baseline="0">
                <a:latin typeface="+mj-lt"/>
              </a:rPr>
              <a:t>On National Holiday Year 2023</a:t>
            </a:r>
          </a:p>
          <a:p>
            <a:pPr>
              <a:defRPr/>
            </a:pPr>
            <a:r>
              <a:rPr lang="en-US" sz="1400" baseline="0">
                <a:latin typeface="+mj-lt"/>
              </a:rPr>
              <a:t>(Case Study Ulin General Hospital, South Kalimantan,Indoensia)</a:t>
            </a:r>
            <a:endParaRPr lang="en-US" sz="1400">
              <a:latin typeface="+mj-lt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963002912307195"/>
          <c:y val="0.2477966724747642"/>
          <c:w val="0.83789914388555309"/>
          <c:h val="0.47810994213958552"/>
        </c:manualLayout>
      </c:layout>
      <c:lineChart>
        <c:grouping val="standard"/>
        <c:varyColors val="0"/>
        <c:ser>
          <c:idx val="0"/>
          <c:order val="0"/>
          <c:tx>
            <c:strRef>
              <c:f>'2023a'!$N$118</c:f>
              <c:strCache>
                <c:ptCount val="1"/>
                <c:pt idx="0">
                  <c:v>Fuzzy Type -1</c:v>
                </c:pt>
              </c:strCache>
            </c:strRef>
          </c:tx>
          <c:val>
            <c:numRef>
              <c:f>'2023a'!$N$119:$N$133</c:f>
              <c:numCache>
                <c:formatCode>General</c:formatCode>
                <c:ptCount val="15"/>
                <c:pt idx="0">
                  <c:v>0.8553011618920916</c:v>
                </c:pt>
                <c:pt idx="1">
                  <c:v>1.4356696341533792</c:v>
                </c:pt>
                <c:pt idx="2">
                  <c:v>0.26868883588563647</c:v>
                </c:pt>
                <c:pt idx="3">
                  <c:v>2.9435896565135802</c:v>
                </c:pt>
                <c:pt idx="4">
                  <c:v>4.6141258449666722</c:v>
                </c:pt>
                <c:pt idx="5">
                  <c:v>7.3952162192646078</c:v>
                </c:pt>
                <c:pt idx="6">
                  <c:v>4.9545279122262285</c:v>
                </c:pt>
                <c:pt idx="7">
                  <c:v>1.5198954505118689</c:v>
                </c:pt>
                <c:pt idx="8">
                  <c:v>0.55964244253064632</c:v>
                </c:pt>
                <c:pt idx="9">
                  <c:v>1.5669546187381391</c:v>
                </c:pt>
                <c:pt idx="10">
                  <c:v>1.6330554271660394</c:v>
                </c:pt>
                <c:pt idx="11">
                  <c:v>0.72757498831765688</c:v>
                </c:pt>
                <c:pt idx="12">
                  <c:v>0.90246272061920174</c:v>
                </c:pt>
                <c:pt idx="13">
                  <c:v>8.9969957613654969</c:v>
                </c:pt>
                <c:pt idx="14">
                  <c:v>2.7409786195822319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0-41A4-AA1F-8C193805E7BE}"/>
            </c:ext>
          </c:extLst>
        </c:ser>
        <c:ser>
          <c:idx val="1"/>
          <c:order val="1"/>
          <c:tx>
            <c:strRef>
              <c:f>'2023a'!$O$118</c:f>
              <c:strCache>
                <c:ptCount val="1"/>
                <c:pt idx="0">
                  <c:v>Interval Type-2 FIS</c:v>
                </c:pt>
              </c:strCache>
            </c:strRef>
          </c:tx>
          <c:val>
            <c:numRef>
              <c:f>'2023a'!$O$119:$O$133</c:f>
              <c:numCache>
                <c:formatCode>General</c:formatCode>
                <c:ptCount val="15"/>
                <c:pt idx="0">
                  <c:v>0.8553011618920916</c:v>
                </c:pt>
                <c:pt idx="1">
                  <c:v>1.6881624828063144</c:v>
                </c:pt>
                <c:pt idx="2">
                  <c:v>0.28717355328666527</c:v>
                </c:pt>
                <c:pt idx="3">
                  <c:v>2.9903827964063754</c:v>
                </c:pt>
                <c:pt idx="4">
                  <c:v>4.1424879049008627</c:v>
                </c:pt>
                <c:pt idx="5">
                  <c:v>7.5973299399387253</c:v>
                </c:pt>
                <c:pt idx="6">
                  <c:v>3.8348544807486964</c:v>
                </c:pt>
                <c:pt idx="7">
                  <c:v>1.5198954505118689</c:v>
                </c:pt>
                <c:pt idx="8">
                  <c:v>0.55964244253064632</c:v>
                </c:pt>
                <c:pt idx="9">
                  <c:v>1.0057630139203364</c:v>
                </c:pt>
                <c:pt idx="10">
                  <c:v>1.6330554271660394</c:v>
                </c:pt>
                <c:pt idx="11">
                  <c:v>0.72757498831765688</c:v>
                </c:pt>
                <c:pt idx="12">
                  <c:v>0.90246272061920174</c:v>
                </c:pt>
                <c:pt idx="13">
                  <c:v>8.0495732801670883</c:v>
                </c:pt>
                <c:pt idx="14">
                  <c:v>2.5566899745151832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70-41A4-AA1F-8C193805E7BE}"/>
            </c:ext>
          </c:extLst>
        </c:ser>
        <c:ser>
          <c:idx val="2"/>
          <c:order val="2"/>
          <c:tx>
            <c:strRef>
              <c:f>'2023a'!$P$118</c:f>
              <c:strCache>
                <c:ptCount val="1"/>
                <c:pt idx="0">
                  <c:v>IT2FIS-BBBC</c:v>
                </c:pt>
              </c:strCache>
            </c:strRef>
          </c:tx>
          <c:val>
            <c:numRef>
              <c:f>'2023a'!$P$119:$P$133</c:f>
              <c:numCache>
                <c:formatCode>General</c:formatCode>
                <c:ptCount val="15"/>
                <c:pt idx="0">
                  <c:v>0.8553011618920916</c:v>
                </c:pt>
                <c:pt idx="1">
                  <c:v>0.16819514977556174</c:v>
                </c:pt>
                <c:pt idx="2">
                  <c:v>0.5886742817062075</c:v>
                </c:pt>
                <c:pt idx="3">
                  <c:v>11.390147959197748</c:v>
                </c:pt>
                <c:pt idx="4">
                  <c:v>9.0228011607704239</c:v>
                </c:pt>
                <c:pt idx="5">
                  <c:v>7.5971174123670311</c:v>
                </c:pt>
                <c:pt idx="6">
                  <c:v>3.8134355125439119</c:v>
                </c:pt>
                <c:pt idx="7">
                  <c:v>1.5971219441524247</c:v>
                </c:pt>
                <c:pt idx="8">
                  <c:v>1.7922211403025901</c:v>
                </c:pt>
                <c:pt idx="9">
                  <c:v>0.66869517771167031</c:v>
                </c:pt>
                <c:pt idx="10">
                  <c:v>1.6330554271660394</c:v>
                </c:pt>
                <c:pt idx="11">
                  <c:v>0.19406962409101214</c:v>
                </c:pt>
                <c:pt idx="12">
                  <c:v>0.90246272061920174</c:v>
                </c:pt>
                <c:pt idx="13">
                  <c:v>14.525102637641599</c:v>
                </c:pt>
                <c:pt idx="14">
                  <c:v>3.9106000935669658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40-442A-8D88-9E0D1FE9B24B}"/>
            </c:ext>
          </c:extLst>
        </c:ser>
        <c:ser>
          <c:idx val="3"/>
          <c:order val="3"/>
          <c:tx>
            <c:strRef>
              <c:f>'2023a'!$Q$118</c:f>
              <c:strCache>
                <c:ptCount val="1"/>
                <c:pt idx="0">
                  <c:v>IT2FIS-FA</c:v>
                </c:pt>
              </c:strCache>
            </c:strRef>
          </c:tx>
          <c:val>
            <c:numRef>
              <c:f>'2023a'!$Q$119:$Q$133</c:f>
              <c:numCache>
                <c:formatCode>General</c:formatCode>
                <c:ptCount val="15"/>
                <c:pt idx="0">
                  <c:v>0.8548222736568124</c:v>
                </c:pt>
                <c:pt idx="1">
                  <c:v>1.6454006574922322</c:v>
                </c:pt>
                <c:pt idx="2">
                  <c:v>6.8407463204808991E-2</c:v>
                </c:pt>
                <c:pt idx="3">
                  <c:v>2.8336880930849477</c:v>
                </c:pt>
                <c:pt idx="4">
                  <c:v>4.1527486847758057</c:v>
                </c:pt>
                <c:pt idx="5">
                  <c:v>7.5181634194854023</c:v>
                </c:pt>
                <c:pt idx="6">
                  <c:v>3.7872567736269209</c:v>
                </c:pt>
                <c:pt idx="7">
                  <c:v>1.4829068440951736</c:v>
                </c:pt>
                <c:pt idx="8">
                  <c:v>0.55964244253064632</c:v>
                </c:pt>
                <c:pt idx="9">
                  <c:v>1.0057630139203364</c:v>
                </c:pt>
                <c:pt idx="10">
                  <c:v>1.6335686110463699</c:v>
                </c:pt>
                <c:pt idx="11">
                  <c:v>0.74314826571602244</c:v>
                </c:pt>
                <c:pt idx="12">
                  <c:v>0.90194182160319247</c:v>
                </c:pt>
                <c:pt idx="13">
                  <c:v>8.062240013755277</c:v>
                </c:pt>
                <c:pt idx="14">
                  <c:v>2.5178355984281393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40-442A-8D88-9E0D1FE9B24B}"/>
            </c:ext>
          </c:extLst>
        </c:ser>
        <c:ser>
          <c:idx val="4"/>
          <c:order val="4"/>
          <c:tx>
            <c:strRef>
              <c:f>'2023a'!$R$118</c:f>
              <c:strCache>
                <c:ptCount val="1"/>
                <c:pt idx="0">
                  <c:v>IT2FIS-CSO</c:v>
                </c:pt>
              </c:strCache>
            </c:strRef>
          </c:tx>
          <c:val>
            <c:numRef>
              <c:f>'2023a'!$R$119:$R$133</c:f>
              <c:numCache>
                <c:formatCode>General</c:formatCode>
                <c:ptCount val="15"/>
                <c:pt idx="0">
                  <c:v>0.8293214751281266</c:v>
                </c:pt>
                <c:pt idx="1">
                  <c:v>1.7139127917829333</c:v>
                </c:pt>
                <c:pt idx="2">
                  <c:v>6.8407463204808991E-2</c:v>
                </c:pt>
                <c:pt idx="3">
                  <c:v>2.6214761051449429</c:v>
                </c:pt>
                <c:pt idx="4">
                  <c:v>4.0531236708737088</c:v>
                </c:pt>
                <c:pt idx="5">
                  <c:v>7.5619440992528739</c:v>
                </c:pt>
                <c:pt idx="6">
                  <c:v>3.8037907139955447</c:v>
                </c:pt>
                <c:pt idx="7">
                  <c:v>1.5000504397658414</c:v>
                </c:pt>
                <c:pt idx="8">
                  <c:v>0.55964244253064632</c:v>
                </c:pt>
                <c:pt idx="9">
                  <c:v>1.0057630139203364</c:v>
                </c:pt>
                <c:pt idx="10">
                  <c:v>1.6637181640161809</c:v>
                </c:pt>
                <c:pt idx="11">
                  <c:v>0.73626442570660267</c:v>
                </c:pt>
                <c:pt idx="12">
                  <c:v>0.87498529752514842</c:v>
                </c:pt>
                <c:pt idx="13">
                  <c:v>8.0756446153194883</c:v>
                </c:pt>
                <c:pt idx="14">
                  <c:v>2.5048603370119418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40-442A-8D88-9E0D1FE9B24B}"/>
            </c:ext>
          </c:extLst>
        </c:ser>
        <c:ser>
          <c:idx val="5"/>
          <c:order val="5"/>
          <c:tx>
            <c:strRef>
              <c:f>'2023a'!$S$118</c:f>
              <c:strCache>
                <c:ptCount val="1"/>
                <c:pt idx="0">
                  <c:v>IT2FIS-OOA</c:v>
                </c:pt>
              </c:strCache>
            </c:strRef>
          </c:tx>
          <c:val>
            <c:numRef>
              <c:f>'2023a'!$S$119:$S$133</c:f>
              <c:numCache>
                <c:formatCode>General</c:formatCode>
                <c:ptCount val="15"/>
                <c:pt idx="0">
                  <c:v>0.89301361042044858</c:v>
                </c:pt>
                <c:pt idx="1">
                  <c:v>1.6179025899878143</c:v>
                </c:pt>
                <c:pt idx="2">
                  <c:v>6.8407463204808991E-2</c:v>
                </c:pt>
                <c:pt idx="3">
                  <c:v>2.5403528892533029</c:v>
                </c:pt>
                <c:pt idx="4">
                  <c:v>4.0921384966772845</c:v>
                </c:pt>
                <c:pt idx="5">
                  <c:v>7.514869242124254</c:v>
                </c:pt>
                <c:pt idx="6">
                  <c:v>3.8880887584506696</c:v>
                </c:pt>
                <c:pt idx="7">
                  <c:v>1.5529358348953033</c:v>
                </c:pt>
                <c:pt idx="8">
                  <c:v>0.55964244253064632</c:v>
                </c:pt>
                <c:pt idx="9">
                  <c:v>1.0057630139203364</c:v>
                </c:pt>
                <c:pt idx="10">
                  <c:v>1.5884084295767171</c:v>
                </c:pt>
                <c:pt idx="11">
                  <c:v>0.72757498831765688</c:v>
                </c:pt>
                <c:pt idx="12">
                  <c:v>0.94126969731127497</c:v>
                </c:pt>
                <c:pt idx="13">
                  <c:v>8.0001361257743415</c:v>
                </c:pt>
                <c:pt idx="14">
                  <c:v>2.4993216844603472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2-4F71-B3E8-79D336B13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49440"/>
        <c:axId val="115155328"/>
      </c:lineChart>
      <c:catAx>
        <c:axId val="11514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5155328"/>
        <c:crosses val="autoZero"/>
        <c:auto val="1"/>
        <c:lblAlgn val="ctr"/>
        <c:lblOffset val="100"/>
        <c:noMultiLvlLbl val="0"/>
      </c:catAx>
      <c:valAx>
        <c:axId val="115155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 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151494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7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 Error Prediction Energy Consumption for Hospital</a:t>
            </a:r>
          </a:p>
          <a:p>
            <a:pPr>
              <a:defRPr/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On Special Holiday  2023 and 2024</a:t>
            </a:r>
          </a:p>
          <a:p>
            <a:pPr>
              <a:defRPr/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(Case Study Ulin General Hospital, South Kalimantan,Indonesia)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963002912307195"/>
          <c:y val="0.2477966724747642"/>
          <c:w val="0.83789914388555309"/>
          <c:h val="0.47810994213958552"/>
        </c:manualLayout>
      </c:layout>
      <c:lineChart>
        <c:grouping val="standard"/>
        <c:varyColors val="0"/>
        <c:ser>
          <c:idx val="0"/>
          <c:order val="0"/>
          <c:tx>
            <c:strRef>
              <c:f>'2024a'!$N$118</c:f>
              <c:strCache>
                <c:ptCount val="1"/>
                <c:pt idx="0">
                  <c:v>Fuzzy Type -1</c:v>
                </c:pt>
              </c:strCache>
            </c:strRef>
          </c:tx>
          <c:val>
            <c:numRef>
              <c:f>'2024a'!$N$119:$N$132</c:f>
              <c:numCache>
                <c:formatCode>0.00</c:formatCode>
                <c:ptCount val="14"/>
                <c:pt idx="0">
                  <c:v>1.0048280863878072</c:v>
                </c:pt>
                <c:pt idx="1">
                  <c:v>1.057534479233833</c:v>
                </c:pt>
                <c:pt idx="2">
                  <c:v>0.1715501650202669</c:v>
                </c:pt>
                <c:pt idx="3">
                  <c:v>2.1899374470763076</c:v>
                </c:pt>
                <c:pt idx="4">
                  <c:v>3.0530858564871277</c:v>
                </c:pt>
                <c:pt idx="5">
                  <c:v>6.1848184952322987</c:v>
                </c:pt>
                <c:pt idx="6">
                  <c:v>2.4893133438819652</c:v>
                </c:pt>
                <c:pt idx="7">
                  <c:v>1.5370343250733263</c:v>
                </c:pt>
                <c:pt idx="8">
                  <c:v>1.0642233160916577</c:v>
                </c:pt>
                <c:pt idx="9">
                  <c:v>2.1776034853339929</c:v>
                </c:pt>
                <c:pt idx="10">
                  <c:v>2.2246151052330121</c:v>
                </c:pt>
                <c:pt idx="11">
                  <c:v>0.51413375936467542</c:v>
                </c:pt>
                <c:pt idx="12">
                  <c:v>0.68313103176960988</c:v>
                </c:pt>
                <c:pt idx="13">
                  <c:v>7.2143314068383013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B-49F8-A88A-3A49159682D3}"/>
            </c:ext>
          </c:extLst>
        </c:ser>
        <c:ser>
          <c:idx val="1"/>
          <c:order val="1"/>
          <c:tx>
            <c:strRef>
              <c:f>'2024a'!$O$118</c:f>
              <c:strCache>
                <c:ptCount val="1"/>
                <c:pt idx="0">
                  <c:v>Interval Type-2 FLS</c:v>
                </c:pt>
              </c:strCache>
            </c:strRef>
          </c:tx>
          <c:val>
            <c:numRef>
              <c:f>'2024a'!$O$119:$O$132</c:f>
              <c:numCache>
                <c:formatCode>0.00</c:formatCode>
                <c:ptCount val="14"/>
                <c:pt idx="0">
                  <c:v>1.0048280863878072</c:v>
                </c:pt>
                <c:pt idx="1">
                  <c:v>1.1835478690899248</c:v>
                </c:pt>
                <c:pt idx="2">
                  <c:v>0.40217199394597669</c:v>
                </c:pt>
                <c:pt idx="3">
                  <c:v>2.0190801711480972</c:v>
                </c:pt>
                <c:pt idx="4">
                  <c:v>2.817266886454223</c:v>
                </c:pt>
                <c:pt idx="5">
                  <c:v>6.2858753555693578</c:v>
                </c:pt>
                <c:pt idx="6">
                  <c:v>2.0970080314994237</c:v>
                </c:pt>
                <c:pt idx="7">
                  <c:v>1.2266832931445859</c:v>
                </c:pt>
                <c:pt idx="8">
                  <c:v>0.86751692523365931</c:v>
                </c:pt>
                <c:pt idx="9">
                  <c:v>1.8970076829250917</c:v>
                </c:pt>
                <c:pt idx="10">
                  <c:v>2.2802955562495861</c:v>
                </c:pt>
                <c:pt idx="11">
                  <c:v>0.51413375936467542</c:v>
                </c:pt>
                <c:pt idx="12">
                  <c:v>0.69452569774463113</c:v>
                </c:pt>
                <c:pt idx="13">
                  <c:v>6.740620166239097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6B-49F8-A88A-3A49159682D3}"/>
            </c:ext>
          </c:extLst>
        </c:ser>
        <c:ser>
          <c:idx val="2"/>
          <c:order val="2"/>
          <c:tx>
            <c:strRef>
              <c:f>'2024a'!$P$118</c:f>
              <c:strCache>
                <c:ptCount val="1"/>
                <c:pt idx="0">
                  <c:v>IT2FLS-BBBC</c:v>
                </c:pt>
              </c:strCache>
            </c:strRef>
          </c:tx>
          <c:val>
            <c:numRef>
              <c:f>'2024a'!$P$119:$P$132</c:f>
              <c:numCache>
                <c:formatCode>0.00</c:formatCode>
                <c:ptCount val="14"/>
                <c:pt idx="0">
                  <c:v>2.6684259547235358</c:v>
                </c:pt>
                <c:pt idx="1">
                  <c:v>0.32698408867190015</c:v>
                </c:pt>
                <c:pt idx="2">
                  <c:v>0.43398517647742491</c:v>
                </c:pt>
                <c:pt idx="3">
                  <c:v>5.7176076822637336</c:v>
                </c:pt>
                <c:pt idx="4">
                  <c:v>4.6608665449154083</c:v>
                </c:pt>
                <c:pt idx="5">
                  <c:v>3.9679429666680903</c:v>
                </c:pt>
                <c:pt idx="6">
                  <c:v>2.6572205186102078</c:v>
                </c:pt>
                <c:pt idx="7">
                  <c:v>0.97889459168512649</c:v>
                </c:pt>
                <c:pt idx="8">
                  <c:v>1.4853226662785717</c:v>
                </c:pt>
                <c:pt idx="9">
                  <c:v>0.54994004246188266</c:v>
                </c:pt>
                <c:pt idx="10">
                  <c:v>2.2779220808030272</c:v>
                </c:pt>
                <c:pt idx="11">
                  <c:v>0.24738107725135303</c:v>
                </c:pt>
                <c:pt idx="12">
                  <c:v>4.7718588639436792</c:v>
                </c:pt>
                <c:pt idx="13">
                  <c:v>8.7486048849576523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6B-49F8-A88A-3A49159682D3}"/>
            </c:ext>
          </c:extLst>
        </c:ser>
        <c:ser>
          <c:idx val="3"/>
          <c:order val="3"/>
          <c:tx>
            <c:strRef>
              <c:f>'2024a'!$Q$118</c:f>
              <c:strCache>
                <c:ptCount val="1"/>
                <c:pt idx="0">
                  <c:v>IT2FIS-FA</c:v>
                </c:pt>
              </c:strCache>
            </c:strRef>
          </c:tx>
          <c:val>
            <c:numRef>
              <c:f>'2024a'!$Q$119:$Q$132</c:f>
              <c:numCache>
                <c:formatCode>0.00</c:formatCode>
                <c:ptCount val="14"/>
                <c:pt idx="0">
                  <c:v>1.0618756474156303</c:v>
                </c:pt>
                <c:pt idx="1">
                  <c:v>1.1085107696286991</c:v>
                </c:pt>
                <c:pt idx="2">
                  <c:v>0.35011655219608778</c:v>
                </c:pt>
                <c:pt idx="3">
                  <c:v>1.9231712294549737</c:v>
                </c:pt>
                <c:pt idx="4">
                  <c:v>2.8239483245123216</c:v>
                </c:pt>
                <c:pt idx="5">
                  <c:v>6.2266864268545916</c:v>
                </c:pt>
                <c:pt idx="6">
                  <c:v>1.9607282805823554</c:v>
                </c:pt>
                <c:pt idx="7">
                  <c:v>1.1375365956571768</c:v>
                </c:pt>
                <c:pt idx="8">
                  <c:v>0.80134157141741258</c:v>
                </c:pt>
                <c:pt idx="9">
                  <c:v>1.8492896634736855</c:v>
                </c:pt>
                <c:pt idx="10">
                  <c:v>2.3412361420396168</c:v>
                </c:pt>
                <c:pt idx="11">
                  <c:v>0.50245380131591322</c:v>
                </c:pt>
                <c:pt idx="12">
                  <c:v>0.63957085155652449</c:v>
                </c:pt>
                <c:pt idx="13">
                  <c:v>6.7681672373435191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6B-49F8-A88A-3A49159682D3}"/>
            </c:ext>
          </c:extLst>
        </c:ser>
        <c:ser>
          <c:idx val="4"/>
          <c:order val="4"/>
          <c:tx>
            <c:strRef>
              <c:f>'2024a'!$R$118</c:f>
              <c:strCache>
                <c:ptCount val="1"/>
                <c:pt idx="0">
                  <c:v>IT2FIS-CSA</c:v>
                </c:pt>
              </c:strCache>
            </c:strRef>
          </c:tx>
          <c:val>
            <c:numRef>
              <c:f>'2024a'!$R$119:$R$132</c:f>
              <c:numCache>
                <c:formatCode>0.00</c:formatCode>
                <c:ptCount val="14"/>
                <c:pt idx="0">
                  <c:v>1.006324612123072</c:v>
                </c:pt>
                <c:pt idx="1">
                  <c:v>1.1851791103825722</c:v>
                </c:pt>
                <c:pt idx="2">
                  <c:v>0.20511143798935191</c:v>
                </c:pt>
                <c:pt idx="3">
                  <c:v>1.8070947843697966</c:v>
                </c:pt>
                <c:pt idx="4">
                  <c:v>2.772584769440646</c:v>
                </c:pt>
                <c:pt idx="5">
                  <c:v>6.2615940805041443</c:v>
                </c:pt>
                <c:pt idx="6">
                  <c:v>1.9061920239115211</c:v>
                </c:pt>
                <c:pt idx="7">
                  <c:v>1.149381261756913</c:v>
                </c:pt>
                <c:pt idx="8">
                  <c:v>0.85120054560344249</c:v>
                </c:pt>
                <c:pt idx="9">
                  <c:v>1.8880641605369761</c:v>
                </c:pt>
                <c:pt idx="10">
                  <c:v>2.3107017011595623</c:v>
                </c:pt>
                <c:pt idx="11">
                  <c:v>0.50978904067021047</c:v>
                </c:pt>
                <c:pt idx="12">
                  <c:v>0.65695585621556152</c:v>
                </c:pt>
                <c:pt idx="13">
                  <c:v>6.7623257825334289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6B-49F8-A88A-3A49159682D3}"/>
            </c:ext>
          </c:extLst>
        </c:ser>
        <c:ser>
          <c:idx val="5"/>
          <c:order val="5"/>
          <c:tx>
            <c:strRef>
              <c:f>'2024a'!$S$118</c:f>
              <c:strCache>
                <c:ptCount val="1"/>
                <c:pt idx="0">
                  <c:v>IT2FIS-OOA</c:v>
                </c:pt>
              </c:strCache>
            </c:strRef>
          </c:tx>
          <c:val>
            <c:numRef>
              <c:f>'2024a'!$S$119:$S$132</c:f>
              <c:numCache>
                <c:formatCode>0.00</c:formatCode>
                <c:ptCount val="14"/>
                <c:pt idx="0">
                  <c:v>1.0428398400632135</c:v>
                </c:pt>
                <c:pt idx="1">
                  <c:v>1.0554371690004423</c:v>
                </c:pt>
                <c:pt idx="2">
                  <c:v>0.14778429860940637</c:v>
                </c:pt>
                <c:pt idx="3">
                  <c:v>1.8762081386908962</c:v>
                </c:pt>
                <c:pt idx="4">
                  <c:v>2.5603894553988877</c:v>
                </c:pt>
                <c:pt idx="5">
                  <c:v>6.2180790602012781</c:v>
                </c:pt>
                <c:pt idx="6">
                  <c:v>1.8014012188484547</c:v>
                </c:pt>
                <c:pt idx="7">
                  <c:v>1.0067777159510178</c:v>
                </c:pt>
                <c:pt idx="8">
                  <c:v>1.434708248364458</c:v>
                </c:pt>
                <c:pt idx="9">
                  <c:v>1.8970076829250917</c:v>
                </c:pt>
                <c:pt idx="10">
                  <c:v>1.2638707332568573</c:v>
                </c:pt>
                <c:pt idx="11">
                  <c:v>0.51413375936467542</c:v>
                </c:pt>
                <c:pt idx="12">
                  <c:v>0.53337256466935001</c:v>
                </c:pt>
                <c:pt idx="13">
                  <c:v>6.4150359218241455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7-4454-8B61-E47D7D100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49440"/>
        <c:axId val="115155328"/>
      </c:lineChart>
      <c:catAx>
        <c:axId val="11514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5155328"/>
        <c:crosses val="autoZero"/>
        <c:auto val="1"/>
        <c:lblAlgn val="ctr"/>
        <c:lblOffset val="100"/>
        <c:noMultiLvlLbl val="0"/>
      </c:catAx>
      <c:valAx>
        <c:axId val="115155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  (%)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151494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7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'Konsumsi beban listrik'!$B$2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'Konsumsi beban listrik'!$A$3:$A$16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'Konsumsi beban listrik'!$B$3:$B$16</c:f>
              <c:numCache>
                <c:formatCode>0.00</c:formatCode>
                <c:ptCount val="14"/>
                <c:pt idx="0">
                  <c:v>22567256.215999998</c:v>
                </c:pt>
                <c:pt idx="1">
                  <c:v>23420438.151999995</c:v>
                </c:pt>
                <c:pt idx="2">
                  <c:v>21625341.699999999</c:v>
                </c:pt>
                <c:pt idx="3">
                  <c:v>23812488.471999999</c:v>
                </c:pt>
                <c:pt idx="4">
                  <c:v>26978630.167999983</c:v>
                </c:pt>
                <c:pt idx="5">
                  <c:v>25901645.223999999</c:v>
                </c:pt>
                <c:pt idx="6">
                  <c:v>22949801.759999998</c:v>
                </c:pt>
                <c:pt idx="7">
                  <c:v>23457312.649999999</c:v>
                </c:pt>
                <c:pt idx="8">
                  <c:v>23007013.184</c:v>
                </c:pt>
                <c:pt idx="9">
                  <c:v>22742761.087999996</c:v>
                </c:pt>
                <c:pt idx="10">
                  <c:v>25456619.983999997</c:v>
                </c:pt>
                <c:pt idx="11">
                  <c:v>24601645.223999999</c:v>
                </c:pt>
                <c:pt idx="12">
                  <c:v>23110877.312000003</c:v>
                </c:pt>
                <c:pt idx="13">
                  <c:v>22035483.85600001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8-49C7-AE38-9AC8E657BB8E}"/>
            </c:ext>
          </c:extLst>
        </c:ser>
        <c:ser>
          <c:idx val="1"/>
          <c:order val="1"/>
          <c:tx>
            <c:strRef>
              <c:f>'Konsumsi beban listrik'!$C$2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'Konsumsi beban listrik'!$A$3:$A$16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'Konsumsi beban listrik'!$C$3:$C$16</c:f>
              <c:numCache>
                <c:formatCode>0.00</c:formatCode>
                <c:ptCount val="14"/>
                <c:pt idx="0">
                  <c:v>23718257.920000002</c:v>
                </c:pt>
                <c:pt idx="1">
                  <c:v>23452361.048</c:v>
                </c:pt>
                <c:pt idx="2">
                  <c:v>22686861.579199996</c:v>
                </c:pt>
                <c:pt idx="3">
                  <c:v>24934535.199999996</c:v>
                </c:pt>
                <c:pt idx="4">
                  <c:v>27274019.976000007</c:v>
                </c:pt>
                <c:pt idx="5">
                  <c:v>24409353.584000006</c:v>
                </c:pt>
                <c:pt idx="6">
                  <c:v>23852582.799999997</c:v>
                </c:pt>
                <c:pt idx="7">
                  <c:v>23441135.967999995</c:v>
                </c:pt>
                <c:pt idx="8">
                  <c:v>22751771.327999998</c:v>
                </c:pt>
                <c:pt idx="9">
                  <c:v>23852582.799999997</c:v>
                </c:pt>
                <c:pt idx="10">
                  <c:v>22815692.079999991</c:v>
                </c:pt>
                <c:pt idx="11">
                  <c:v>23287769.416000001</c:v>
                </c:pt>
                <c:pt idx="12">
                  <c:v>22254695.648000006</c:v>
                </c:pt>
                <c:pt idx="13">
                  <c:v>23862345.607999995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8-49C7-AE38-9AC8E657BB8E}"/>
            </c:ext>
          </c:extLst>
        </c:ser>
        <c:ser>
          <c:idx val="2"/>
          <c:order val="2"/>
          <c:tx>
            <c:strRef>
              <c:f>'Konsumsi beban listrik'!$D$2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'Konsumsi beban listrik'!$A$3:$A$16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'Konsumsi beban listrik'!$D$3:$D$16</c:f>
              <c:numCache>
                <c:formatCode>0.00</c:formatCode>
                <c:ptCount val="14"/>
                <c:pt idx="0">
                  <c:v>25726988.52</c:v>
                </c:pt>
                <c:pt idx="1">
                  <c:v>23595416.392000005</c:v>
                </c:pt>
                <c:pt idx="2">
                  <c:v>23221913.432000011</c:v>
                </c:pt>
                <c:pt idx="3">
                  <c:v>23994465.52</c:v>
                </c:pt>
                <c:pt idx="4">
                  <c:v>24348237.368000001</c:v>
                </c:pt>
                <c:pt idx="5">
                  <c:v>23370764.111999996</c:v>
                </c:pt>
                <c:pt idx="6">
                  <c:v>21973444.831999995</c:v>
                </c:pt>
                <c:pt idx="7">
                  <c:v>22778253.584000006</c:v>
                </c:pt>
                <c:pt idx="8">
                  <c:v>24624619.496000011</c:v>
                </c:pt>
                <c:pt idx="9">
                  <c:v>24654370.176000006</c:v>
                </c:pt>
                <c:pt idx="10">
                  <c:v>25043529.879999999</c:v>
                </c:pt>
                <c:pt idx="11">
                  <c:v>27298992.328000002</c:v>
                </c:pt>
                <c:pt idx="12">
                  <c:v>25825940.600000001</c:v>
                </c:pt>
                <c:pt idx="13">
                  <c:v>23610307.936000004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38-49C7-AE38-9AC8E657BB8E}"/>
            </c:ext>
          </c:extLst>
        </c:ser>
        <c:ser>
          <c:idx val="3"/>
          <c:order val="3"/>
          <c:tx>
            <c:strRef>
              <c:f>'Konsumsi beban listrik'!$E$2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'Konsumsi beban listrik'!$A$3:$A$16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'Konsumsi beban listrik'!$E$3:$E$16</c:f>
              <c:numCache>
                <c:formatCode>0.00</c:formatCode>
                <c:ptCount val="14"/>
                <c:pt idx="0">
                  <c:v>21383235.272000007</c:v>
                </c:pt>
                <c:pt idx="1">
                  <c:v>23369011.471999992</c:v>
                </c:pt>
                <c:pt idx="2">
                  <c:v>20658324.559999991</c:v>
                </c:pt>
                <c:pt idx="3">
                  <c:v>23414288.264000002</c:v>
                </c:pt>
                <c:pt idx="4">
                  <c:v>23798220.599999998</c:v>
                </c:pt>
                <c:pt idx="5">
                  <c:v>25703679.503999997</c:v>
                </c:pt>
                <c:pt idx="6">
                  <c:v>18556039.552000005</c:v>
                </c:pt>
                <c:pt idx="7">
                  <c:v>20061147.615999997</c:v>
                </c:pt>
                <c:pt idx="8">
                  <c:v>22518592.687999986</c:v>
                </c:pt>
                <c:pt idx="9">
                  <c:v>25094944.103999987</c:v>
                </c:pt>
                <c:pt idx="10">
                  <c:v>23465166.680000011</c:v>
                </c:pt>
                <c:pt idx="11">
                  <c:v>23458005.864</c:v>
                </c:pt>
                <c:pt idx="12">
                  <c:v>20598511.239999998</c:v>
                </c:pt>
                <c:pt idx="13">
                  <c:v>23319885.640000015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38-49C7-AE38-9AC8E657BB8E}"/>
            </c:ext>
          </c:extLst>
        </c:ser>
        <c:ser>
          <c:idx val="4"/>
          <c:order val="4"/>
          <c:tx>
            <c:strRef>
              <c:f>'Konsumsi beban listrik'!$F$2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'Konsumsi beban listrik'!$A$3:$A$16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'Konsumsi beban listrik'!$F$3:$F$16</c:f>
              <c:numCache>
                <c:formatCode>0.00</c:formatCode>
                <c:ptCount val="14"/>
                <c:pt idx="0">
                  <c:v>21383235.272000007</c:v>
                </c:pt>
                <c:pt idx="1">
                  <c:v>23369011.471999992</c:v>
                </c:pt>
                <c:pt idx="2">
                  <c:v>20658324.559999991</c:v>
                </c:pt>
                <c:pt idx="3">
                  <c:v>23414288.264000002</c:v>
                </c:pt>
                <c:pt idx="4">
                  <c:v>23798220.599999998</c:v>
                </c:pt>
                <c:pt idx="5">
                  <c:v>25703679.503999997</c:v>
                </c:pt>
                <c:pt idx="6">
                  <c:v>18556039.552000005</c:v>
                </c:pt>
                <c:pt idx="7">
                  <c:v>20061147.615999997</c:v>
                </c:pt>
                <c:pt idx="8">
                  <c:v>22518592.687999986</c:v>
                </c:pt>
                <c:pt idx="9">
                  <c:v>25094944.103999987</c:v>
                </c:pt>
                <c:pt idx="10">
                  <c:v>23465166.680000011</c:v>
                </c:pt>
                <c:pt idx="11">
                  <c:v>23458005.864</c:v>
                </c:pt>
                <c:pt idx="12">
                  <c:v>20598511.239999998</c:v>
                </c:pt>
                <c:pt idx="13">
                  <c:v>23319885.640000015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38-49C7-AE38-9AC8E657B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931616"/>
        <c:axId val="380933056"/>
      </c:lineChart>
      <c:catAx>
        <c:axId val="38093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Special 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33056"/>
        <c:crosses val="autoZero"/>
        <c:auto val="1"/>
        <c:lblAlgn val="ctr"/>
        <c:lblOffset val="100"/>
        <c:noMultiLvlLbl val="0"/>
      </c:catAx>
      <c:valAx>
        <c:axId val="3809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</a:t>
                </a:r>
                <a:r>
                  <a:rPr lang="en-US" baseline="0"/>
                  <a:t> Consumption (Wh)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31616"/>
        <c:crosses val="autoZero"/>
        <c:crossBetween val="between"/>
        <c:majorUnit val="5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13084</xdr:colOff>
      <xdr:row>118</xdr:row>
      <xdr:rowOff>38099</xdr:rowOff>
    </xdr:from>
    <xdr:to>
      <xdr:col>10</xdr:col>
      <xdr:colOff>413657</xdr:colOff>
      <xdr:row>139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13084</xdr:colOff>
      <xdr:row>118</xdr:row>
      <xdr:rowOff>38099</xdr:rowOff>
    </xdr:from>
    <xdr:to>
      <xdr:col>10</xdr:col>
      <xdr:colOff>413657</xdr:colOff>
      <xdr:row>139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563880</xdr:colOff>
      <xdr:row>54</xdr:row>
      <xdr:rowOff>45720</xdr:rowOff>
    </xdr:from>
    <xdr:to>
      <xdr:col>21</xdr:col>
      <xdr:colOff>22860</xdr:colOff>
      <xdr:row>56</xdr:row>
      <xdr:rowOff>182880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698480"/>
          <a:ext cx="25069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571500</xdr:colOff>
      <xdr:row>51</xdr:row>
      <xdr:rowOff>60960</xdr:rowOff>
    </xdr:from>
    <xdr:to>
      <xdr:col>20</xdr:col>
      <xdr:colOff>457200</xdr:colOff>
      <xdr:row>54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0220" y="10119360"/>
          <a:ext cx="23241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586740</xdr:colOff>
      <xdr:row>48</xdr:row>
      <xdr:rowOff>68580</xdr:rowOff>
    </xdr:from>
    <xdr:to>
      <xdr:col>20</xdr:col>
      <xdr:colOff>464820</xdr:colOff>
      <xdr:row>51</xdr:row>
      <xdr:rowOff>7620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5460" y="9532620"/>
          <a:ext cx="23164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45</xdr:row>
      <xdr:rowOff>99060</xdr:rowOff>
    </xdr:from>
    <xdr:to>
      <xdr:col>20</xdr:col>
      <xdr:colOff>365760</xdr:colOff>
      <xdr:row>48</xdr:row>
      <xdr:rowOff>38100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8968740"/>
          <a:ext cx="22021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556260</xdr:colOff>
      <xdr:row>42</xdr:row>
      <xdr:rowOff>129540</xdr:rowOff>
    </xdr:from>
    <xdr:to>
      <xdr:col>20</xdr:col>
      <xdr:colOff>274320</xdr:colOff>
      <xdr:row>45</xdr:row>
      <xdr:rowOff>68580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4980" y="8404860"/>
          <a:ext cx="21564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38100</xdr:colOff>
      <xdr:row>39</xdr:row>
      <xdr:rowOff>182880</xdr:rowOff>
    </xdr:from>
    <xdr:to>
      <xdr:col>20</xdr:col>
      <xdr:colOff>297180</xdr:colOff>
      <xdr:row>42</xdr:row>
      <xdr:rowOff>121920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7863840"/>
          <a:ext cx="20878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37</xdr:row>
      <xdr:rowOff>22860</xdr:rowOff>
    </xdr:from>
    <xdr:to>
      <xdr:col>20</xdr:col>
      <xdr:colOff>190500</xdr:colOff>
      <xdr:row>39</xdr:row>
      <xdr:rowOff>160020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7307580"/>
          <a:ext cx="202692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</xdr:colOff>
      <xdr:row>34</xdr:row>
      <xdr:rowOff>60960</xdr:rowOff>
    </xdr:from>
    <xdr:to>
      <xdr:col>20</xdr:col>
      <xdr:colOff>160020</xdr:colOff>
      <xdr:row>37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1180" y="6751320"/>
          <a:ext cx="19659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579120</xdr:colOff>
      <xdr:row>31</xdr:row>
      <xdr:rowOff>76200</xdr:rowOff>
    </xdr:from>
    <xdr:to>
      <xdr:col>20</xdr:col>
      <xdr:colOff>259080</xdr:colOff>
      <xdr:row>34</xdr:row>
      <xdr:rowOff>15240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7840" y="6172200"/>
          <a:ext cx="21183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</xdr:colOff>
      <xdr:row>28</xdr:row>
      <xdr:rowOff>68580</xdr:rowOff>
    </xdr:from>
    <xdr:to>
      <xdr:col>20</xdr:col>
      <xdr:colOff>274320</xdr:colOff>
      <xdr:row>31</xdr:row>
      <xdr:rowOff>7620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5940" y="5570220"/>
          <a:ext cx="2095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548640</xdr:colOff>
      <xdr:row>25</xdr:row>
      <xdr:rowOff>76200</xdr:rowOff>
    </xdr:from>
    <xdr:to>
      <xdr:col>20</xdr:col>
      <xdr:colOff>297180</xdr:colOff>
      <xdr:row>28</xdr:row>
      <xdr:rowOff>15240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7360" y="4983480"/>
          <a:ext cx="218694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563880</xdr:colOff>
      <xdr:row>54</xdr:row>
      <xdr:rowOff>45720</xdr:rowOff>
    </xdr:from>
    <xdr:to>
      <xdr:col>21</xdr:col>
      <xdr:colOff>22860</xdr:colOff>
      <xdr:row>56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3530" y="10837545"/>
          <a:ext cx="2506980" cy="53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571500</xdr:colOff>
      <xdr:row>51</xdr:row>
      <xdr:rowOff>60960</xdr:rowOff>
    </xdr:from>
    <xdr:to>
      <xdr:col>20</xdr:col>
      <xdr:colOff>457200</xdr:colOff>
      <xdr:row>54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150" y="10252710"/>
          <a:ext cx="232410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586740</xdr:colOff>
      <xdr:row>48</xdr:row>
      <xdr:rowOff>68580</xdr:rowOff>
    </xdr:from>
    <xdr:to>
      <xdr:col>20</xdr:col>
      <xdr:colOff>464820</xdr:colOff>
      <xdr:row>51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6390" y="9660255"/>
          <a:ext cx="231648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45</xdr:row>
      <xdr:rowOff>99060</xdr:rowOff>
    </xdr:from>
    <xdr:to>
      <xdr:col>20</xdr:col>
      <xdr:colOff>365760</xdr:colOff>
      <xdr:row>48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1630" y="9090660"/>
          <a:ext cx="220218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556260</xdr:colOff>
      <xdr:row>42</xdr:row>
      <xdr:rowOff>129540</xdr:rowOff>
    </xdr:from>
    <xdr:to>
      <xdr:col>20</xdr:col>
      <xdr:colOff>274320</xdr:colOff>
      <xdr:row>45</xdr:row>
      <xdr:rowOff>68580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5910" y="8521065"/>
          <a:ext cx="215646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38100</xdr:colOff>
      <xdr:row>39</xdr:row>
      <xdr:rowOff>182880</xdr:rowOff>
    </xdr:from>
    <xdr:to>
      <xdr:col>20</xdr:col>
      <xdr:colOff>297180</xdr:colOff>
      <xdr:row>42</xdr:row>
      <xdr:rowOff>121920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7974330"/>
          <a:ext cx="208788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37</xdr:row>
      <xdr:rowOff>22860</xdr:rowOff>
    </xdr:from>
    <xdr:to>
      <xdr:col>20</xdr:col>
      <xdr:colOff>190500</xdr:colOff>
      <xdr:row>39</xdr:row>
      <xdr:rowOff>160020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1630" y="7414260"/>
          <a:ext cx="2026920" cy="53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</xdr:colOff>
      <xdr:row>34</xdr:row>
      <xdr:rowOff>60960</xdr:rowOff>
    </xdr:from>
    <xdr:to>
      <xdr:col>20</xdr:col>
      <xdr:colOff>160020</xdr:colOff>
      <xdr:row>37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2110" y="6852285"/>
          <a:ext cx="196596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579120</xdr:colOff>
      <xdr:row>31</xdr:row>
      <xdr:rowOff>76200</xdr:rowOff>
    </xdr:from>
    <xdr:to>
      <xdr:col>20</xdr:col>
      <xdr:colOff>259080</xdr:colOff>
      <xdr:row>34</xdr:row>
      <xdr:rowOff>15240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8770" y="6267450"/>
          <a:ext cx="211836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</xdr:colOff>
      <xdr:row>28</xdr:row>
      <xdr:rowOff>68580</xdr:rowOff>
    </xdr:from>
    <xdr:to>
      <xdr:col>20</xdr:col>
      <xdr:colOff>274320</xdr:colOff>
      <xdr:row>31</xdr:row>
      <xdr:rowOff>7620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0" y="5659755"/>
          <a:ext cx="209550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548640</xdr:colOff>
      <xdr:row>25</xdr:row>
      <xdr:rowOff>76200</xdr:rowOff>
    </xdr:from>
    <xdr:to>
      <xdr:col>20</xdr:col>
      <xdr:colOff>297180</xdr:colOff>
      <xdr:row>28</xdr:row>
      <xdr:rowOff>15240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8290" y="5067300"/>
          <a:ext cx="218694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274320</xdr:colOff>
      <xdr:row>2</xdr:row>
      <xdr:rowOff>26670</xdr:rowOff>
    </xdr:from>
    <xdr:to>
      <xdr:col>14</xdr:col>
      <xdr:colOff>579120</xdr:colOff>
      <xdr:row>15</xdr:row>
      <xdr:rowOff>194310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19"/>
  <sheetViews>
    <sheetView workbookViewId="0"/>
  </sheetViews>
  <sheetFormatPr defaultRowHeight="15" x14ac:dyDescent="0.25"/>
  <cols>
    <col min="1" max="1" width="12" customWidth="1"/>
    <col min="2" max="2" width="31.42578125" customWidth="1"/>
    <col min="3" max="3" width="21.85546875" customWidth="1"/>
    <col min="4" max="4" width="14.42578125" customWidth="1"/>
    <col min="5" max="5" width="15.42578125" customWidth="1"/>
    <col min="6" max="6" width="15.85546875" customWidth="1"/>
    <col min="7" max="7" width="14.7109375" customWidth="1"/>
    <col min="8" max="8" width="15.28515625" customWidth="1"/>
    <col min="9" max="9" width="10.140625" bestFit="1" customWidth="1"/>
  </cols>
  <sheetData>
    <row r="1" spans="1:10" x14ac:dyDescent="0.25">
      <c r="A1" s="19" t="s">
        <v>153</v>
      </c>
    </row>
    <row r="3" spans="1:10" ht="15.75" x14ac:dyDescent="0.25">
      <c r="A3" s="2" t="s">
        <v>0</v>
      </c>
      <c r="B3" s="2" t="s">
        <v>1</v>
      </c>
      <c r="C3" s="3" t="s">
        <v>9</v>
      </c>
      <c r="D3" s="53" t="s">
        <v>8</v>
      </c>
      <c r="E3" s="54"/>
      <c r="F3" s="54"/>
      <c r="G3" s="54"/>
      <c r="H3" s="54"/>
      <c r="I3" s="55" t="s">
        <v>59</v>
      </c>
      <c r="J3" s="55" t="s">
        <v>60</v>
      </c>
    </row>
    <row r="4" spans="1:10" ht="15.75" x14ac:dyDescent="0.25">
      <c r="A4" s="7"/>
      <c r="B4" s="7"/>
      <c r="C4" s="8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56"/>
      <c r="J4" s="56"/>
    </row>
    <row r="5" spans="1:10" ht="15.75" x14ac:dyDescent="0.25">
      <c r="A5" s="2" t="s">
        <v>17</v>
      </c>
      <c r="B5" s="1" t="s">
        <v>19</v>
      </c>
      <c r="C5" s="1" t="s">
        <v>115</v>
      </c>
      <c r="D5" s="18">
        <v>21584537.699999999</v>
      </c>
      <c r="E5" s="18">
        <v>22686538.98</v>
      </c>
      <c r="F5" s="18">
        <v>23612436.600000001</v>
      </c>
      <c r="G5" s="18">
        <v>26977415.219999999</v>
      </c>
      <c r="H5" s="18">
        <v>22567256.215999998</v>
      </c>
      <c r="I5" s="1">
        <f>(D5+E5+F5+G5)/4</f>
        <v>23715232.125</v>
      </c>
      <c r="J5" s="1">
        <f>((H5-I5)/I5)*100</f>
        <v>-4.8406690811591702</v>
      </c>
    </row>
    <row r="6" spans="1:10" ht="15.75" x14ac:dyDescent="0.25">
      <c r="A6" s="7" t="s">
        <v>18</v>
      </c>
      <c r="B6" s="1" t="s">
        <v>20</v>
      </c>
      <c r="C6" s="1" t="s">
        <v>73</v>
      </c>
      <c r="D6" s="18">
        <v>25800705.449999999</v>
      </c>
      <c r="E6" s="18">
        <v>24137736.520000003</v>
      </c>
      <c r="F6" s="18">
        <v>23092416.329999998</v>
      </c>
      <c r="G6" s="18">
        <v>21587125.5</v>
      </c>
      <c r="H6" s="18">
        <v>23420438.151999995</v>
      </c>
      <c r="I6" s="1">
        <f t="shared" ref="I6:I18" si="0">(D6+E6+F6+G6)/4</f>
        <v>23654495.949999999</v>
      </c>
      <c r="J6" s="1">
        <f t="shared" ref="J6:J18" si="1">((H6-I6)/I6)*100</f>
        <v>-0.98948545973986046</v>
      </c>
    </row>
    <row r="7" spans="1:10" ht="15.75" x14ac:dyDescent="0.25">
      <c r="A7" s="2" t="s">
        <v>21</v>
      </c>
      <c r="B7" s="1" t="s">
        <v>23</v>
      </c>
      <c r="C7" s="1" t="s">
        <v>104</v>
      </c>
      <c r="D7" s="18">
        <v>23826315.671999998</v>
      </c>
      <c r="E7" s="18">
        <v>20324141.752</v>
      </c>
      <c r="F7" s="18">
        <v>22423341.800000001</v>
      </c>
      <c r="G7" s="18">
        <v>21423341.800000001</v>
      </c>
      <c r="H7" s="18">
        <v>21625341.699999999</v>
      </c>
      <c r="I7" s="1">
        <f t="shared" si="0"/>
        <v>21999285.255999997</v>
      </c>
      <c r="J7" s="1">
        <f t="shared" si="1"/>
        <v>-1.6997986600406034</v>
      </c>
    </row>
    <row r="8" spans="1:10" ht="15.75" x14ac:dyDescent="0.25">
      <c r="A8" s="13" t="s">
        <v>22</v>
      </c>
      <c r="B8" s="1" t="s">
        <v>24</v>
      </c>
      <c r="C8" s="1" t="s">
        <v>105</v>
      </c>
      <c r="D8" s="18">
        <v>22587125.495999999</v>
      </c>
      <c r="E8" s="18">
        <v>23998475.600000001</v>
      </c>
      <c r="F8" s="18">
        <v>22757124.800000001</v>
      </c>
      <c r="G8" s="18">
        <v>23689125.800000001</v>
      </c>
      <c r="H8" s="18">
        <v>23812488.471999999</v>
      </c>
      <c r="I8" s="1">
        <f t="shared" si="0"/>
        <v>23257962.923999999</v>
      </c>
      <c r="J8" s="1">
        <f t="shared" si="1"/>
        <v>2.3842395390001374</v>
      </c>
    </row>
    <row r="9" spans="1:10" ht="15.75" x14ac:dyDescent="0.25">
      <c r="A9" s="13"/>
      <c r="B9" s="1" t="s">
        <v>25</v>
      </c>
      <c r="C9" s="1" t="s">
        <v>106</v>
      </c>
      <c r="D9" s="18">
        <v>26102309.903999984</v>
      </c>
      <c r="E9" s="18">
        <v>26567256.699999999</v>
      </c>
      <c r="F9" s="18">
        <v>25763256.800000001</v>
      </c>
      <c r="G9" s="18">
        <v>26363239.527999997</v>
      </c>
      <c r="H9" s="18">
        <v>26978630.167999983</v>
      </c>
      <c r="I9" s="1">
        <f t="shared" si="0"/>
        <v>26199015.732999995</v>
      </c>
      <c r="J9" s="1">
        <f t="shared" si="1"/>
        <v>2.975739405423516</v>
      </c>
    </row>
    <row r="10" spans="1:10" ht="15.75" x14ac:dyDescent="0.25">
      <c r="A10" s="13"/>
      <c r="B10" s="1" t="s">
        <v>26</v>
      </c>
      <c r="C10" s="1" t="s">
        <v>107</v>
      </c>
      <c r="D10" s="18">
        <v>24520980.807999998</v>
      </c>
      <c r="E10" s="18">
        <v>25901645.223999999</v>
      </c>
      <c r="F10" s="18">
        <v>24987811.352000009</v>
      </c>
      <c r="G10" s="18">
        <v>26006907.471999992</v>
      </c>
      <c r="H10" s="18">
        <v>25901645.223999999</v>
      </c>
      <c r="I10" s="1">
        <f t="shared" si="0"/>
        <v>25354336.213999998</v>
      </c>
      <c r="J10" s="1">
        <f t="shared" si="1"/>
        <v>2.1586406576788706</v>
      </c>
    </row>
    <row r="11" spans="1:10" ht="15.75" x14ac:dyDescent="0.25">
      <c r="A11" s="13"/>
      <c r="B11" s="1" t="s">
        <v>35</v>
      </c>
      <c r="C11" s="1" t="s">
        <v>108</v>
      </c>
      <c r="D11" s="18">
        <v>22151894.68</v>
      </c>
      <c r="E11" s="18">
        <v>22742761.087999996</v>
      </c>
      <c r="F11" s="18">
        <v>23242825.447999999</v>
      </c>
      <c r="G11" s="18">
        <v>22572629.719999999</v>
      </c>
      <c r="H11" s="18">
        <v>22949801.759999998</v>
      </c>
      <c r="I11" s="1">
        <f t="shared" si="0"/>
        <v>22677527.733999997</v>
      </c>
      <c r="J11" s="1">
        <f t="shared" si="1"/>
        <v>1.2006336369364687</v>
      </c>
    </row>
    <row r="12" spans="1:10" ht="15.75" x14ac:dyDescent="0.25">
      <c r="A12" s="13"/>
      <c r="B12" s="1" t="s">
        <v>36</v>
      </c>
      <c r="C12" s="1" t="s">
        <v>109</v>
      </c>
      <c r="D12" s="18">
        <v>22742761.087999996</v>
      </c>
      <c r="E12" s="18">
        <v>23242825.447999999</v>
      </c>
      <c r="F12" s="18">
        <v>22572629.719999999</v>
      </c>
      <c r="G12" s="18">
        <v>22949801.759999998</v>
      </c>
      <c r="H12" s="18">
        <v>23457312.649999999</v>
      </c>
      <c r="I12" s="1">
        <f t="shared" si="0"/>
        <v>22877004.504000001</v>
      </c>
      <c r="J12" s="1">
        <f t="shared" si="1"/>
        <v>2.5366439294905594</v>
      </c>
    </row>
    <row r="13" spans="1:10" ht="15.75" x14ac:dyDescent="0.25">
      <c r="A13" s="2" t="s">
        <v>21</v>
      </c>
      <c r="B13" s="1" t="s">
        <v>56</v>
      </c>
      <c r="C13" s="1" t="s">
        <v>110</v>
      </c>
      <c r="D13" s="18">
        <v>22224364.263999995</v>
      </c>
      <c r="E13" s="18">
        <v>24161369.519999996</v>
      </c>
      <c r="F13" s="18">
        <v>23302241.816000003</v>
      </c>
      <c r="G13" s="18">
        <v>23273985.335999999</v>
      </c>
      <c r="H13" s="18">
        <v>23007013.184</v>
      </c>
      <c r="I13" s="1">
        <f t="shared" si="0"/>
        <v>23240490.233999997</v>
      </c>
      <c r="J13" s="1">
        <f t="shared" si="1"/>
        <v>-1.0046132747166776</v>
      </c>
    </row>
    <row r="14" spans="1:10" ht="15.75" x14ac:dyDescent="0.25">
      <c r="A14" s="13" t="s">
        <v>27</v>
      </c>
      <c r="B14" s="1" t="s">
        <v>57</v>
      </c>
      <c r="C14" s="1" t="s">
        <v>111</v>
      </c>
      <c r="D14" s="18">
        <v>23000644.136</v>
      </c>
      <c r="E14" s="18">
        <v>27058926.191999994</v>
      </c>
      <c r="F14" s="18">
        <v>23398859.120000008</v>
      </c>
      <c r="G14" s="18">
        <v>22151894.68</v>
      </c>
      <c r="H14" s="18">
        <v>22742761.087999996</v>
      </c>
      <c r="I14" s="1">
        <f t="shared" si="0"/>
        <v>23902581.031999998</v>
      </c>
      <c r="J14" s="1">
        <f t="shared" si="1"/>
        <v>-4.8522791009358901</v>
      </c>
    </row>
    <row r="15" spans="1:10" ht="15.75" x14ac:dyDescent="0.25">
      <c r="A15" s="13"/>
      <c r="B15" s="1" t="s">
        <v>58</v>
      </c>
      <c r="C15" s="1" t="s">
        <v>74</v>
      </c>
      <c r="D15" s="18">
        <v>25465121.530000001</v>
      </c>
      <c r="E15" s="18">
        <v>26931676.223999992</v>
      </c>
      <c r="F15" s="18">
        <v>24803188.583999999</v>
      </c>
      <c r="G15" s="18">
        <v>25181153.752</v>
      </c>
      <c r="H15" s="18">
        <v>25456619.983999997</v>
      </c>
      <c r="I15" s="1">
        <f t="shared" si="0"/>
        <v>25595285.022500001</v>
      </c>
      <c r="J15" s="1">
        <f t="shared" si="1"/>
        <v>-0.54176008736807379</v>
      </c>
    </row>
    <row r="16" spans="1:10" ht="15.75" x14ac:dyDescent="0.25">
      <c r="A16" s="2" t="s">
        <v>21</v>
      </c>
      <c r="B16" s="22" t="s">
        <v>30</v>
      </c>
      <c r="C16" s="1" t="s">
        <v>112</v>
      </c>
      <c r="D16" s="18">
        <v>26006907.471999992</v>
      </c>
      <c r="E16" s="18">
        <v>25901645.223999999</v>
      </c>
      <c r="F16" s="18">
        <v>25002605.620000001</v>
      </c>
      <c r="G16" s="18">
        <v>24801785.420000002</v>
      </c>
      <c r="H16" s="18">
        <v>24601645.223999999</v>
      </c>
      <c r="I16" s="1">
        <f t="shared" si="0"/>
        <v>25428235.934</v>
      </c>
      <c r="J16" s="1">
        <f t="shared" si="1"/>
        <v>-3.250680511795824</v>
      </c>
    </row>
    <row r="17" spans="1:10" ht="15.75" x14ac:dyDescent="0.25">
      <c r="A17" s="13" t="s">
        <v>63</v>
      </c>
      <c r="B17" s="22" t="s">
        <v>64</v>
      </c>
      <c r="C17" s="1" t="s">
        <v>113</v>
      </c>
      <c r="D17" s="18">
        <v>28134040.272000011</v>
      </c>
      <c r="E17" s="18">
        <v>29372832.152000003</v>
      </c>
      <c r="F17" s="18">
        <v>29493308.127999984</v>
      </c>
      <c r="G17" s="18">
        <v>27138620.024</v>
      </c>
      <c r="H17" s="18">
        <v>23110877.312000003</v>
      </c>
      <c r="I17" s="1">
        <f t="shared" si="0"/>
        <v>28534700.143999998</v>
      </c>
      <c r="J17" s="1">
        <f t="shared" si="1"/>
        <v>-19.007814361562385</v>
      </c>
    </row>
    <row r="18" spans="1:10" ht="15.75" x14ac:dyDescent="0.25">
      <c r="A18" s="13" t="s">
        <v>31</v>
      </c>
      <c r="B18" s="23" t="s">
        <v>65</v>
      </c>
      <c r="C18" s="1" t="s">
        <v>114</v>
      </c>
      <c r="D18" s="18">
        <v>23398859.120000008</v>
      </c>
      <c r="E18" s="17">
        <v>21973606.032000009</v>
      </c>
      <c r="F18" s="17">
        <v>22838016.532000002</v>
      </c>
      <c r="G18" s="18">
        <v>22732674.760000002</v>
      </c>
      <c r="H18" s="18">
        <v>22035483.85600001</v>
      </c>
      <c r="I18" s="1">
        <f t="shared" si="0"/>
        <v>22735789.111000005</v>
      </c>
      <c r="J18" s="1">
        <f t="shared" si="1"/>
        <v>-3.0801889108884031</v>
      </c>
    </row>
    <row r="19" spans="1:10" ht="15.75" x14ac:dyDescent="0.25">
      <c r="A19" s="7" t="s">
        <v>32</v>
      </c>
      <c r="B19" s="22"/>
      <c r="C19" s="1"/>
      <c r="D19" s="1"/>
      <c r="E19" s="1"/>
      <c r="F19" s="1"/>
      <c r="G19" s="1"/>
      <c r="H19" s="1"/>
      <c r="I19" s="1"/>
      <c r="J19" s="1"/>
    </row>
  </sheetData>
  <mergeCells count="3">
    <mergeCell ref="D3:H3"/>
    <mergeCell ref="I3:I4"/>
    <mergeCell ref="J3:J4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J19"/>
  <sheetViews>
    <sheetView topLeftCell="C1" workbookViewId="0">
      <selection activeCell="I5" sqref="I5"/>
    </sheetView>
  </sheetViews>
  <sheetFormatPr defaultRowHeight="15" x14ac:dyDescent="0.25"/>
  <cols>
    <col min="1" max="1" width="12" customWidth="1"/>
    <col min="2" max="2" width="29.28515625" customWidth="1"/>
    <col min="3" max="3" width="20.140625" customWidth="1"/>
    <col min="4" max="4" width="14.42578125" customWidth="1"/>
    <col min="5" max="5" width="14.28515625" customWidth="1"/>
    <col min="6" max="6" width="13.5703125" customWidth="1"/>
    <col min="7" max="7" width="16.140625" customWidth="1"/>
    <col min="8" max="8" width="15.28515625" customWidth="1"/>
    <col min="9" max="9" width="12.7109375" customWidth="1"/>
    <col min="10" max="10" width="13.42578125" customWidth="1"/>
  </cols>
  <sheetData>
    <row r="1" spans="1:10" x14ac:dyDescent="0.25">
      <c r="A1" s="19" t="s">
        <v>154</v>
      </c>
    </row>
    <row r="3" spans="1:10" ht="15.75" x14ac:dyDescent="0.25">
      <c r="A3" s="2" t="s">
        <v>0</v>
      </c>
      <c r="B3" s="2" t="s">
        <v>1</v>
      </c>
      <c r="C3" s="3" t="s">
        <v>9</v>
      </c>
      <c r="D3" s="53" t="s">
        <v>8</v>
      </c>
      <c r="E3" s="54"/>
      <c r="F3" s="54"/>
      <c r="G3" s="54"/>
      <c r="H3" s="54"/>
      <c r="I3" s="55" t="s">
        <v>59</v>
      </c>
      <c r="J3" s="55" t="s">
        <v>60</v>
      </c>
    </row>
    <row r="4" spans="1:10" ht="15.75" x14ac:dyDescent="0.25">
      <c r="A4" s="7"/>
      <c r="B4" s="7"/>
      <c r="C4" s="8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56"/>
      <c r="J4" s="56"/>
    </row>
    <row r="5" spans="1:10" ht="15.75" x14ac:dyDescent="0.25">
      <c r="A5" s="2" t="s">
        <v>17</v>
      </c>
      <c r="B5" s="1" t="s">
        <v>19</v>
      </c>
      <c r="C5" s="1" t="s">
        <v>76</v>
      </c>
      <c r="D5" s="18">
        <v>26362121.208000001</v>
      </c>
      <c r="E5" s="18">
        <v>24633071.568</v>
      </c>
      <c r="F5" s="18">
        <v>25633791.520000003</v>
      </c>
      <c r="G5" s="18">
        <v>23463371.135999996</v>
      </c>
      <c r="H5" s="18">
        <v>23718257.920000002</v>
      </c>
      <c r="I5" s="1">
        <f>(D5+E5+F5+G5)/4</f>
        <v>25023088.857999999</v>
      </c>
      <c r="J5" s="1">
        <f>((H5-I5)/I5)*100</f>
        <v>-5.2145078707293031</v>
      </c>
    </row>
    <row r="6" spans="1:10" ht="15.75" x14ac:dyDescent="0.25">
      <c r="A6" s="7" t="s">
        <v>18</v>
      </c>
      <c r="B6" s="1" t="s">
        <v>20</v>
      </c>
      <c r="C6" s="1" t="s">
        <v>78</v>
      </c>
      <c r="D6" s="18">
        <v>24464887.703999996</v>
      </c>
      <c r="E6" s="18">
        <v>25477371.424000002</v>
      </c>
      <c r="F6" s="18">
        <v>23241234.775999993</v>
      </c>
      <c r="G6" s="18">
        <v>25411913.712000001</v>
      </c>
      <c r="H6" s="18">
        <v>23452361.048</v>
      </c>
      <c r="I6" s="1">
        <f t="shared" ref="I6:I18" si="0">(D6+E6+F6+G6)/4</f>
        <v>24648851.903999995</v>
      </c>
      <c r="J6" s="1">
        <f t="shared" ref="J6:J18" si="1">((H6-I6)/I6)*100</f>
        <v>-4.8541443660742249</v>
      </c>
    </row>
    <row r="7" spans="1:10" ht="15.75" x14ac:dyDescent="0.25">
      <c r="A7" s="2" t="s">
        <v>21</v>
      </c>
      <c r="B7" s="1" t="s">
        <v>23</v>
      </c>
      <c r="C7" s="1" t="s">
        <v>116</v>
      </c>
      <c r="D7" s="18">
        <v>23442565.928000003</v>
      </c>
      <c r="E7" s="18">
        <v>23481885.847999997</v>
      </c>
      <c r="F7" s="18">
        <v>21702795.328000002</v>
      </c>
      <c r="G7" s="18">
        <v>25998746.688000008</v>
      </c>
      <c r="H7" s="18">
        <v>22686861.579199996</v>
      </c>
      <c r="I7" s="1">
        <f t="shared" si="0"/>
        <v>23656498.448000003</v>
      </c>
      <c r="J7" s="1">
        <f t="shared" si="1"/>
        <v>-4.0988182208427517</v>
      </c>
    </row>
    <row r="8" spans="1:10" ht="15.75" x14ac:dyDescent="0.25">
      <c r="A8" s="13" t="s">
        <v>22</v>
      </c>
      <c r="B8" s="1" t="s">
        <v>24</v>
      </c>
      <c r="C8" s="1" t="s">
        <v>117</v>
      </c>
      <c r="D8" s="18">
        <v>25064032.232000001</v>
      </c>
      <c r="E8" s="18">
        <v>25622147.048</v>
      </c>
      <c r="F8" s="18">
        <v>23650703.151999995</v>
      </c>
      <c r="G8" s="18">
        <v>23507110.208000004</v>
      </c>
      <c r="H8" s="18">
        <v>24934535.199999996</v>
      </c>
      <c r="I8" s="1">
        <f t="shared" si="0"/>
        <v>24460998.16</v>
      </c>
      <c r="J8" s="1">
        <f t="shared" si="1"/>
        <v>1.9358860047434603</v>
      </c>
    </row>
    <row r="9" spans="1:10" ht="15.75" x14ac:dyDescent="0.25">
      <c r="A9" s="13"/>
      <c r="B9" s="1" t="s">
        <v>25</v>
      </c>
      <c r="C9" s="1" t="s">
        <v>122</v>
      </c>
      <c r="D9" s="18">
        <v>28519671.400000002</v>
      </c>
      <c r="E9" s="18">
        <v>29260419.655999996</v>
      </c>
      <c r="F9" s="18">
        <v>30285709.800000001</v>
      </c>
      <c r="G9" s="18">
        <v>27039561.927999996</v>
      </c>
      <c r="H9" s="18">
        <v>27274019.976000007</v>
      </c>
      <c r="I9" s="1">
        <f t="shared" si="0"/>
        <v>28776340.695999995</v>
      </c>
      <c r="J9" s="1">
        <f t="shared" si="1"/>
        <v>-5.2206801965227463</v>
      </c>
    </row>
    <row r="10" spans="1:10" ht="15.75" x14ac:dyDescent="0.25">
      <c r="A10" s="13"/>
      <c r="B10" s="1" t="s">
        <v>26</v>
      </c>
      <c r="C10" s="1" t="s">
        <v>119</v>
      </c>
      <c r="D10" s="18">
        <v>23979209.128000002</v>
      </c>
      <c r="E10" s="18">
        <v>24342529.928000003</v>
      </c>
      <c r="F10" s="18">
        <v>26026583.535999998</v>
      </c>
      <c r="G10" s="18">
        <v>26684616.800000001</v>
      </c>
      <c r="H10" s="18">
        <v>24409353.584000006</v>
      </c>
      <c r="I10" s="1">
        <f t="shared" si="0"/>
        <v>25258234.848000001</v>
      </c>
      <c r="J10" s="1">
        <f t="shared" si="1"/>
        <v>-3.3608099263801523</v>
      </c>
    </row>
    <row r="11" spans="1:10" ht="15.75" x14ac:dyDescent="0.25">
      <c r="A11" s="13"/>
      <c r="B11" s="1" t="s">
        <v>35</v>
      </c>
      <c r="C11" s="1" t="s">
        <v>77</v>
      </c>
      <c r="D11" s="18">
        <v>24755826.168000001</v>
      </c>
      <c r="E11" s="18">
        <v>24872874.16</v>
      </c>
      <c r="F11" s="18">
        <v>25198627.447999999</v>
      </c>
      <c r="G11" s="18">
        <v>24279438.456</v>
      </c>
      <c r="H11" s="18">
        <v>23852582.799999997</v>
      </c>
      <c r="I11" s="1">
        <f t="shared" si="0"/>
        <v>24776691.557999998</v>
      </c>
      <c r="J11" s="1">
        <f t="shared" si="1"/>
        <v>-3.729750422233518</v>
      </c>
    </row>
    <row r="12" spans="1:10" ht="15.75" x14ac:dyDescent="0.25">
      <c r="A12" s="7"/>
      <c r="B12" s="1" t="s">
        <v>36</v>
      </c>
      <c r="C12" s="1" t="s">
        <v>134</v>
      </c>
      <c r="D12" s="18">
        <v>24872874.16</v>
      </c>
      <c r="E12" s="18">
        <v>25198627.447999999</v>
      </c>
      <c r="F12" s="18">
        <v>24279438.456</v>
      </c>
      <c r="G12" s="18">
        <v>23852582.799999997</v>
      </c>
      <c r="H12" s="18">
        <v>23441135.967999995</v>
      </c>
      <c r="I12" s="1">
        <f t="shared" si="0"/>
        <v>24550880.715999998</v>
      </c>
      <c r="J12" s="1">
        <f t="shared" si="1"/>
        <v>-4.5201830469437061</v>
      </c>
    </row>
    <row r="13" spans="1:10" ht="15.75" x14ac:dyDescent="0.25">
      <c r="A13" s="2" t="s">
        <v>21</v>
      </c>
      <c r="B13" s="1" t="s">
        <v>56</v>
      </c>
      <c r="C13" s="1" t="s">
        <v>135</v>
      </c>
      <c r="D13" s="18">
        <v>25719603.216000006</v>
      </c>
      <c r="E13" s="18">
        <v>25409160.623999998</v>
      </c>
      <c r="F13" s="18">
        <v>25820456.824000001</v>
      </c>
      <c r="G13" s="18">
        <v>25128780.719999999</v>
      </c>
      <c r="H13" s="18">
        <v>22751771.327999998</v>
      </c>
      <c r="I13" s="1">
        <f t="shared" si="0"/>
        <v>25519500.346000001</v>
      </c>
      <c r="J13" s="1">
        <f t="shared" si="1"/>
        <v>-10.84554548668436</v>
      </c>
    </row>
    <row r="14" spans="1:10" ht="15.75" x14ac:dyDescent="0.25">
      <c r="A14" s="13" t="s">
        <v>27</v>
      </c>
      <c r="B14" s="1" t="s">
        <v>57</v>
      </c>
      <c r="C14" s="1" t="s">
        <v>77</v>
      </c>
      <c r="D14" s="18">
        <v>24755826.168000001</v>
      </c>
      <c r="E14" s="18">
        <v>24872874.16</v>
      </c>
      <c r="F14" s="18">
        <v>25198627.447999999</v>
      </c>
      <c r="G14" s="18">
        <v>24279438.456</v>
      </c>
      <c r="H14" s="18">
        <v>23852582.799999997</v>
      </c>
      <c r="I14" s="1">
        <f t="shared" si="0"/>
        <v>24776691.557999998</v>
      </c>
      <c r="J14" s="1">
        <f t="shared" si="1"/>
        <v>-3.729750422233518</v>
      </c>
    </row>
    <row r="15" spans="1:10" ht="15.75" x14ac:dyDescent="0.25">
      <c r="A15" s="13"/>
      <c r="B15" s="1" t="s">
        <v>58</v>
      </c>
      <c r="C15" s="1" t="s">
        <v>133</v>
      </c>
      <c r="D15" s="18">
        <v>26516165.095999993</v>
      </c>
      <c r="E15" s="18">
        <v>27408592.000000007</v>
      </c>
      <c r="F15" s="18">
        <v>25976683.439999998</v>
      </c>
      <c r="G15" s="18">
        <v>26636426.296</v>
      </c>
      <c r="H15" s="18">
        <v>22815692.079999991</v>
      </c>
      <c r="I15" s="1">
        <f t="shared" si="0"/>
        <v>26634466.708000001</v>
      </c>
      <c r="J15" s="1">
        <f t="shared" si="1"/>
        <v>-14.337717626810948</v>
      </c>
    </row>
    <row r="16" spans="1:10" ht="15.75" x14ac:dyDescent="0.25">
      <c r="A16" s="2" t="s">
        <v>21</v>
      </c>
      <c r="B16" s="22" t="s">
        <v>30</v>
      </c>
      <c r="C16" s="1" t="s">
        <v>120</v>
      </c>
      <c r="D16" s="18">
        <v>24409353.584000006</v>
      </c>
      <c r="E16" s="18">
        <v>25152061.600000001</v>
      </c>
      <c r="F16" s="18">
        <v>25952051.375999998</v>
      </c>
      <c r="G16" s="18">
        <v>27224238.232000005</v>
      </c>
      <c r="H16" s="18">
        <v>23287769.416000001</v>
      </c>
      <c r="I16" s="1">
        <f t="shared" si="0"/>
        <v>25684426.198000003</v>
      </c>
      <c r="J16" s="1">
        <f t="shared" si="1"/>
        <v>-9.3311673133138733</v>
      </c>
    </row>
    <row r="17" spans="1:10" ht="15.75" x14ac:dyDescent="0.25">
      <c r="A17" s="13" t="s">
        <v>63</v>
      </c>
      <c r="B17" s="22" t="s">
        <v>64</v>
      </c>
      <c r="C17" s="1" t="s">
        <v>118</v>
      </c>
      <c r="D17" s="18">
        <v>24822864.728</v>
      </c>
      <c r="E17" s="18">
        <v>24612050.239999995</v>
      </c>
      <c r="F17" s="18">
        <v>25128608.719999999</v>
      </c>
      <c r="G17" s="18">
        <v>25605728.759999998</v>
      </c>
      <c r="H17" s="18">
        <v>22254695.648000006</v>
      </c>
      <c r="I17" s="1">
        <f t="shared" si="0"/>
        <v>25042313.111999996</v>
      </c>
      <c r="J17" s="1">
        <f t="shared" si="1"/>
        <v>-11.131629300905894</v>
      </c>
    </row>
    <row r="18" spans="1:10" ht="15.75" x14ac:dyDescent="0.25">
      <c r="A18" s="13" t="s">
        <v>31</v>
      </c>
      <c r="B18" s="23" t="s">
        <v>65</v>
      </c>
      <c r="C18" s="1" t="s">
        <v>121</v>
      </c>
      <c r="D18" s="18">
        <v>19097262.991999999</v>
      </c>
      <c r="E18" s="18">
        <v>22373731.048</v>
      </c>
      <c r="F18" s="18">
        <v>25978307.119999997</v>
      </c>
      <c r="G18" s="18">
        <v>25999101.447999999</v>
      </c>
      <c r="H18" s="18">
        <v>23862345.607999995</v>
      </c>
      <c r="I18" s="1">
        <f t="shared" si="0"/>
        <v>23362100.651999999</v>
      </c>
      <c r="J18" s="1">
        <f t="shared" si="1"/>
        <v>2.1412670181145339</v>
      </c>
    </row>
    <row r="19" spans="1:10" ht="15.75" x14ac:dyDescent="0.25">
      <c r="A19" s="7" t="s">
        <v>32</v>
      </c>
      <c r="B19" s="22"/>
      <c r="C19" s="1"/>
      <c r="D19" s="18"/>
      <c r="E19" s="18"/>
      <c r="F19" s="18"/>
      <c r="G19" s="18"/>
      <c r="H19" s="18"/>
      <c r="I19" s="1"/>
      <c r="J19" s="1"/>
    </row>
  </sheetData>
  <mergeCells count="3">
    <mergeCell ref="D3:H3"/>
    <mergeCell ref="I3:I4"/>
    <mergeCell ref="J3:J4"/>
  </mergeCells>
  <pageMargins left="0.7" right="0.7" top="0.75" bottom="0.75" header="0.3" footer="0.3"/>
  <pageSetup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9"/>
  <sheetViews>
    <sheetView topLeftCell="B1" workbookViewId="0">
      <selection activeCell="E20" sqref="E20"/>
    </sheetView>
  </sheetViews>
  <sheetFormatPr defaultRowHeight="15" x14ac:dyDescent="0.25"/>
  <cols>
    <col min="1" max="1" width="12" customWidth="1"/>
    <col min="2" max="2" width="30.7109375" customWidth="1"/>
    <col min="3" max="3" width="20.85546875" customWidth="1"/>
    <col min="4" max="4" width="15.140625" customWidth="1"/>
    <col min="5" max="5" width="16.42578125" customWidth="1"/>
    <col min="6" max="6" width="16.28515625" customWidth="1"/>
    <col min="7" max="7" width="14.7109375" customWidth="1"/>
    <col min="8" max="8" width="15.7109375" customWidth="1"/>
    <col min="9" max="9" width="20.7109375" customWidth="1"/>
  </cols>
  <sheetData>
    <row r="1" spans="1:12" x14ac:dyDescent="0.25">
      <c r="A1" s="19" t="s">
        <v>155</v>
      </c>
    </row>
    <row r="3" spans="1:12" ht="15.75" x14ac:dyDescent="0.25">
      <c r="A3" s="2" t="s">
        <v>0</v>
      </c>
      <c r="B3" s="2" t="s">
        <v>1</v>
      </c>
      <c r="C3" s="3" t="s">
        <v>9</v>
      </c>
      <c r="D3" s="53" t="s">
        <v>8</v>
      </c>
      <c r="E3" s="54"/>
      <c r="F3" s="54"/>
      <c r="G3" s="54"/>
      <c r="H3" s="54"/>
      <c r="I3" s="55" t="s">
        <v>59</v>
      </c>
      <c r="J3" s="55" t="s">
        <v>60</v>
      </c>
      <c r="K3" s="55" t="s">
        <v>62</v>
      </c>
      <c r="L3" s="55" t="s">
        <v>61</v>
      </c>
    </row>
    <row r="4" spans="1:12" ht="15.75" x14ac:dyDescent="0.25">
      <c r="A4" s="7"/>
      <c r="B4" s="7"/>
      <c r="C4" s="8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56"/>
      <c r="J4" s="56"/>
      <c r="K4" s="56"/>
      <c r="L4" s="56"/>
    </row>
    <row r="5" spans="1:12" ht="15.75" x14ac:dyDescent="0.25">
      <c r="A5" s="2" t="s">
        <v>17</v>
      </c>
      <c r="B5" s="1" t="s">
        <v>19</v>
      </c>
      <c r="C5" s="1" t="s">
        <v>79</v>
      </c>
      <c r="D5" s="18">
        <v>28045067.392000005</v>
      </c>
      <c r="E5" s="18">
        <v>27126319.527999993</v>
      </c>
      <c r="F5" s="18">
        <v>27503446.128000006</v>
      </c>
      <c r="G5" s="18">
        <v>26231290.927999992</v>
      </c>
      <c r="H5" s="18">
        <v>25726988.52</v>
      </c>
      <c r="I5" s="18">
        <f>(D5+E5+F5+G5)/4</f>
        <v>27226530.993999999</v>
      </c>
      <c r="J5" s="1">
        <f>((H5-I5)/I5)*100</f>
        <v>-5.507651615001774</v>
      </c>
      <c r="K5" s="1">
        <f>('2020a'!J5+'2021a'!J5)/2</f>
        <v>-5.0275884759442366</v>
      </c>
      <c r="L5" s="1">
        <f>J5-K5</f>
        <v>-0.48006313905753739</v>
      </c>
    </row>
    <row r="6" spans="1:12" ht="15.75" x14ac:dyDescent="0.25">
      <c r="A6" s="7" t="s">
        <v>18</v>
      </c>
      <c r="B6" s="1" t="s">
        <v>20</v>
      </c>
      <c r="C6" s="1" t="s">
        <v>71</v>
      </c>
      <c r="D6" s="18">
        <v>26099256.32799999</v>
      </c>
      <c r="E6" s="18">
        <v>23081675.072000004</v>
      </c>
      <c r="F6" s="1">
        <v>27802201.296000011</v>
      </c>
      <c r="G6" s="18">
        <v>26751322.592</v>
      </c>
      <c r="H6" s="18">
        <v>23595416.392000005</v>
      </c>
      <c r="I6" s="18">
        <f t="shared" ref="I6:I18" si="0">(D6+E6+F6+G6)/4</f>
        <v>25933613.822000004</v>
      </c>
      <c r="J6" s="1">
        <f t="shared" ref="J6:J18" si="1">((H6-I6)/I6)*100</f>
        <v>-9.016087946896393</v>
      </c>
      <c r="K6" s="1">
        <f>('2020a'!J6+'2021a'!J6)/2</f>
        <v>-2.9218149129070428</v>
      </c>
      <c r="L6" s="1">
        <f t="shared" ref="L6:L16" si="2">J6-K6</f>
        <v>-6.0942730339893503</v>
      </c>
    </row>
    <row r="7" spans="1:12" ht="15.75" x14ac:dyDescent="0.25">
      <c r="A7" s="2" t="s">
        <v>21</v>
      </c>
      <c r="B7" s="1" t="s">
        <v>23</v>
      </c>
      <c r="C7" s="1" t="s">
        <v>123</v>
      </c>
      <c r="D7" s="18">
        <v>27305490.992000006</v>
      </c>
      <c r="E7" s="18">
        <v>26657435.680000007</v>
      </c>
      <c r="F7" s="18">
        <v>26772535.872000009</v>
      </c>
      <c r="G7" s="18">
        <v>25895473.832000002</v>
      </c>
      <c r="H7" s="18">
        <v>23221913.432000011</v>
      </c>
      <c r="I7" s="18">
        <f t="shared" si="0"/>
        <v>26657734.094000008</v>
      </c>
      <c r="J7" s="1">
        <f t="shared" si="1"/>
        <v>-12.888644810863029</v>
      </c>
      <c r="K7" s="1">
        <f>('2020a'!J7+'2021a'!J7)/2</f>
        <v>-2.8993084404416773</v>
      </c>
      <c r="L7" s="1">
        <f t="shared" si="2"/>
        <v>-9.989336370421352</v>
      </c>
    </row>
    <row r="8" spans="1:12" ht="15.75" x14ac:dyDescent="0.25">
      <c r="A8" s="13" t="s">
        <v>22</v>
      </c>
      <c r="B8" s="1" t="s">
        <v>24</v>
      </c>
      <c r="C8" s="1" t="s">
        <v>124</v>
      </c>
      <c r="D8" s="18">
        <v>27279481.984000005</v>
      </c>
      <c r="E8" s="18">
        <v>27192132.776000008</v>
      </c>
      <c r="F8" s="18">
        <v>25449598.968000002</v>
      </c>
      <c r="G8" s="18">
        <v>25989618.224000007</v>
      </c>
      <c r="H8" s="18">
        <v>23994465.52</v>
      </c>
      <c r="I8" s="18">
        <f t="shared" si="0"/>
        <v>26477707.988000005</v>
      </c>
      <c r="J8" s="1">
        <f t="shared" si="1"/>
        <v>-9.3786156608624847</v>
      </c>
      <c r="K8" s="1">
        <f>('2020a'!J8+'2021a'!J8)/2</f>
        <v>2.1600627718717988</v>
      </c>
      <c r="L8" s="1">
        <f t="shared" si="2"/>
        <v>-11.538678432734283</v>
      </c>
    </row>
    <row r="9" spans="1:12" ht="15.75" x14ac:dyDescent="0.25">
      <c r="A9" s="13"/>
      <c r="B9" s="1" t="s">
        <v>25</v>
      </c>
      <c r="C9" s="1" t="s">
        <v>136</v>
      </c>
      <c r="D9" s="18">
        <v>27869895.864000008</v>
      </c>
      <c r="E9" s="18">
        <v>28150673.688000005</v>
      </c>
      <c r="F9" s="18">
        <v>27342434.944000002</v>
      </c>
      <c r="G9" s="18">
        <v>26449760.656000003</v>
      </c>
      <c r="H9" s="18">
        <v>24348237.368000001</v>
      </c>
      <c r="I9" s="18">
        <f t="shared" si="0"/>
        <v>27453191.288000006</v>
      </c>
      <c r="J9" s="1">
        <f t="shared" si="1"/>
        <v>-11.309992661425865</v>
      </c>
      <c r="K9" s="1">
        <f>('2020a'!J9+'2021a'!J9)/2</f>
        <v>-1.1224703955496151</v>
      </c>
      <c r="L9" s="1">
        <f t="shared" si="2"/>
        <v>-10.18752226587625</v>
      </c>
    </row>
    <row r="10" spans="1:12" ht="15.75" x14ac:dyDescent="0.25">
      <c r="A10" s="13"/>
      <c r="B10" s="1" t="s">
        <v>26</v>
      </c>
      <c r="C10" s="1" t="s">
        <v>125</v>
      </c>
      <c r="D10" s="18">
        <v>27198992.495999999</v>
      </c>
      <c r="E10" s="18">
        <v>25907784.695999999</v>
      </c>
      <c r="F10" s="18">
        <v>23350518.232000008</v>
      </c>
      <c r="G10" s="18">
        <v>22160099.623999998</v>
      </c>
      <c r="H10" s="18">
        <v>23370764.111999996</v>
      </c>
      <c r="I10" s="18">
        <f t="shared" si="0"/>
        <v>24654348.762000002</v>
      </c>
      <c r="J10" s="1">
        <f t="shared" si="1"/>
        <v>-5.2063214582995112</v>
      </c>
      <c r="K10" s="1">
        <f>('2020a'!J10+'2021a'!J10)/2</f>
        <v>-0.60108463435064086</v>
      </c>
      <c r="L10" s="1">
        <f t="shared" si="2"/>
        <v>-4.6052368239488706</v>
      </c>
    </row>
    <row r="11" spans="1:12" ht="15.75" x14ac:dyDescent="0.25">
      <c r="A11" s="13"/>
      <c r="B11" s="1" t="s">
        <v>35</v>
      </c>
      <c r="C11" s="1" t="s">
        <v>126</v>
      </c>
      <c r="D11" s="18">
        <v>25328500.392000001</v>
      </c>
      <c r="E11" s="18">
        <v>27064560.776000001</v>
      </c>
      <c r="F11" s="18">
        <v>23719376.199999999</v>
      </c>
      <c r="G11" s="18">
        <v>22816454.335999999</v>
      </c>
      <c r="H11" s="18">
        <v>21973444.831999995</v>
      </c>
      <c r="I11" s="18">
        <f t="shared" si="0"/>
        <v>24732222.925999999</v>
      </c>
      <c r="J11" s="1">
        <f t="shared" si="1"/>
        <v>-11.154590116118559</v>
      </c>
      <c r="K11" s="1">
        <f>('2020a'!J11+'2021a'!J11)/2</f>
        <v>-1.2645583926485247</v>
      </c>
      <c r="L11" s="1">
        <f t="shared" si="2"/>
        <v>-9.8900317234700346</v>
      </c>
    </row>
    <row r="12" spans="1:12" ht="15.75" x14ac:dyDescent="0.25">
      <c r="A12" s="13"/>
      <c r="B12" s="1" t="s">
        <v>36</v>
      </c>
      <c r="C12" s="1" t="s">
        <v>127</v>
      </c>
      <c r="D12" s="18">
        <v>27064560.776000001</v>
      </c>
      <c r="E12" s="18">
        <v>23719376.199999999</v>
      </c>
      <c r="F12" s="18">
        <v>22816454.335999999</v>
      </c>
      <c r="G12" s="18">
        <v>21973444.831999995</v>
      </c>
      <c r="H12" s="18">
        <v>22778253.584000006</v>
      </c>
      <c r="I12" s="18">
        <f t="shared" si="0"/>
        <v>23893459.035999998</v>
      </c>
      <c r="J12" s="1">
        <f t="shared" si="1"/>
        <v>-4.6674089771586651</v>
      </c>
      <c r="K12" s="1">
        <f>('2020a'!J12+'2021a'!J12)/2</f>
        <v>-0.99176955872657335</v>
      </c>
      <c r="L12" s="1">
        <f t="shared" si="2"/>
        <v>-3.675639418432092</v>
      </c>
    </row>
    <row r="13" spans="1:12" ht="15.75" x14ac:dyDescent="0.25">
      <c r="A13" s="2" t="s">
        <v>21</v>
      </c>
      <c r="B13" s="1" t="s">
        <v>56</v>
      </c>
      <c r="C13" s="1" t="s">
        <v>128</v>
      </c>
      <c r="D13" s="18">
        <v>27745161.816000007</v>
      </c>
      <c r="E13" s="18">
        <v>27788987</v>
      </c>
      <c r="F13" s="18">
        <v>28655135.984000005</v>
      </c>
      <c r="G13" s="18">
        <v>28339704.568000004</v>
      </c>
      <c r="H13" s="18">
        <v>24624619.496000011</v>
      </c>
      <c r="I13" s="18">
        <f t="shared" si="0"/>
        <v>28132247.342000004</v>
      </c>
      <c r="J13" s="1">
        <f t="shared" si="1"/>
        <v>-12.468352788734673</v>
      </c>
      <c r="K13" s="1">
        <f>('2020a'!J13+'2021a'!J13)/2</f>
        <v>-5.9250793807005184</v>
      </c>
      <c r="L13" s="1">
        <f t="shared" si="2"/>
        <v>-6.543273408034155</v>
      </c>
    </row>
    <row r="14" spans="1:12" ht="15.75" x14ac:dyDescent="0.25">
      <c r="A14" s="13" t="s">
        <v>27</v>
      </c>
      <c r="B14" s="1" t="s">
        <v>57</v>
      </c>
      <c r="C14" s="1" t="s">
        <v>129</v>
      </c>
      <c r="D14" s="18">
        <v>23930341.216000002</v>
      </c>
      <c r="E14" s="18">
        <v>28243785.856000014</v>
      </c>
      <c r="F14" s="18">
        <v>28868950.351999998</v>
      </c>
      <c r="G14" s="18">
        <v>29910077.344000012</v>
      </c>
      <c r="H14" s="18">
        <v>24654370.176000006</v>
      </c>
      <c r="I14" s="18">
        <f t="shared" si="0"/>
        <v>27738288.692000005</v>
      </c>
      <c r="J14" s="1">
        <f t="shared" si="1"/>
        <v>-11.117911960046154</v>
      </c>
      <c r="K14" s="1">
        <f>('2020a'!J14+'2021a'!J14)/2</f>
        <v>-4.2910147615847043</v>
      </c>
      <c r="L14" s="1">
        <f t="shared" si="2"/>
        <v>-6.8268971984614497</v>
      </c>
    </row>
    <row r="15" spans="1:12" ht="15.75" x14ac:dyDescent="0.25">
      <c r="A15" s="7"/>
      <c r="B15" s="1" t="s">
        <v>58</v>
      </c>
      <c r="C15" s="1" t="s">
        <v>72</v>
      </c>
      <c r="D15" s="18">
        <v>31059369.456000004</v>
      </c>
      <c r="E15" s="18">
        <v>30082947.912</v>
      </c>
      <c r="F15" s="18">
        <v>26653779.968000002</v>
      </c>
      <c r="G15" s="18">
        <v>25353529.848000005</v>
      </c>
      <c r="H15" s="18">
        <v>25043529.879999999</v>
      </c>
      <c r="I15" s="18">
        <f t="shared" si="0"/>
        <v>28287406.796</v>
      </c>
      <c r="J15" s="1">
        <f t="shared" si="1"/>
        <v>-11.467565547431883</v>
      </c>
      <c r="K15" s="1">
        <f>('2020a'!J15+'2021a'!J15)/2</f>
        <v>-7.4397388570895107</v>
      </c>
      <c r="L15" s="1">
        <f t="shared" si="2"/>
        <v>-4.0278266903423727</v>
      </c>
    </row>
    <row r="16" spans="1:12" ht="15.75" x14ac:dyDescent="0.25">
      <c r="A16" s="2" t="s">
        <v>21</v>
      </c>
      <c r="B16" s="1" t="s">
        <v>30</v>
      </c>
      <c r="C16" s="1" t="s">
        <v>130</v>
      </c>
      <c r="D16" s="18">
        <v>22160099.623999998</v>
      </c>
      <c r="E16" s="18">
        <v>23370764.111999996</v>
      </c>
      <c r="F16" s="18">
        <v>27994016.912000008</v>
      </c>
      <c r="G16" s="18">
        <v>28188987</v>
      </c>
      <c r="H16" s="18">
        <v>27298992.328000002</v>
      </c>
      <c r="I16" s="18">
        <f t="shared" si="0"/>
        <v>25428466.912</v>
      </c>
      <c r="J16" s="1">
        <f t="shared" si="1"/>
        <v>7.3560290617334765</v>
      </c>
      <c r="K16" s="1">
        <f>('2020a'!J16+'2021a'!J16)/2</f>
        <v>-6.2909239125548488</v>
      </c>
      <c r="L16" s="1">
        <f t="shared" si="2"/>
        <v>13.646952974288325</v>
      </c>
    </row>
    <row r="17" spans="1:12" ht="15.75" x14ac:dyDescent="0.25">
      <c r="A17" s="2" t="s">
        <v>21</v>
      </c>
      <c r="B17" s="1" t="s">
        <v>64</v>
      </c>
      <c r="C17" s="1" t="s">
        <v>131</v>
      </c>
      <c r="D17" s="18">
        <v>27935762.631999992</v>
      </c>
      <c r="E17" s="18">
        <v>26960717.368000001</v>
      </c>
      <c r="F17" s="18">
        <v>24599416.68</v>
      </c>
      <c r="G17" s="18">
        <v>29899690.84</v>
      </c>
      <c r="H17" s="18">
        <v>25825940.600000001</v>
      </c>
      <c r="I17" s="18">
        <f t="shared" si="0"/>
        <v>27348896.879999999</v>
      </c>
      <c r="J17" s="1">
        <f t="shared" si="1"/>
        <v>-5.5686205066417926</v>
      </c>
      <c r="K17" s="1">
        <f>('2020a'!J17+'2021a'!J17)/2</f>
        <v>-15.069721831234141</v>
      </c>
      <c r="L17" s="1">
        <f>J17-K17</f>
        <v>9.5011013245923479</v>
      </c>
    </row>
    <row r="18" spans="1:12" ht="15.75" x14ac:dyDescent="0.25">
      <c r="A18" s="13" t="s">
        <v>31</v>
      </c>
      <c r="B18" s="14" t="s">
        <v>65</v>
      </c>
      <c r="C18" s="1" t="s">
        <v>132</v>
      </c>
      <c r="D18" s="18">
        <v>27872745.096000001</v>
      </c>
      <c r="E18" s="18">
        <v>26727183.895999998</v>
      </c>
      <c r="F18" s="18">
        <v>26021100.136</v>
      </c>
      <c r="G18" s="18">
        <v>21420103.831999995</v>
      </c>
      <c r="H18" s="18">
        <v>23610307.936000004</v>
      </c>
      <c r="I18" s="18">
        <f t="shared" si="0"/>
        <v>25510283.239999995</v>
      </c>
      <c r="J18" s="1">
        <f t="shared" si="1"/>
        <v>-7.4478800808484884</v>
      </c>
      <c r="K18" s="1">
        <f>('2020a'!J18+'2021a'!J18)/2</f>
        <v>-0.46946094638693459</v>
      </c>
      <c r="L18" s="1">
        <f>J18-K18</f>
        <v>-6.9784191344615536</v>
      </c>
    </row>
    <row r="19" spans="1:12" ht="15.75" x14ac:dyDescent="0.25">
      <c r="A19" s="7" t="s">
        <v>32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5">
    <mergeCell ref="D3:H3"/>
    <mergeCell ref="I3:I4"/>
    <mergeCell ref="J3:J4"/>
    <mergeCell ref="K3:K4"/>
    <mergeCell ref="L3:L4"/>
  </mergeCell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133"/>
  <sheetViews>
    <sheetView tabSelected="1" topLeftCell="E1" zoomScale="70" zoomScaleNormal="70" workbookViewId="0">
      <selection activeCell="T33" sqref="T33"/>
    </sheetView>
  </sheetViews>
  <sheetFormatPr defaultRowHeight="15" x14ac:dyDescent="0.25"/>
  <cols>
    <col min="1" max="1" width="12" customWidth="1"/>
    <col min="2" max="2" width="31.42578125" customWidth="1"/>
    <col min="3" max="3" width="22.140625" customWidth="1"/>
    <col min="4" max="4" width="15" customWidth="1"/>
    <col min="5" max="5" width="17.28515625" customWidth="1"/>
    <col min="6" max="6" width="15.42578125" customWidth="1"/>
    <col min="7" max="8" width="15.85546875" customWidth="1"/>
    <col min="9" max="9" width="11.7109375" customWidth="1"/>
    <col min="13" max="13" width="14.28515625" customWidth="1"/>
    <col min="14" max="14" width="12.85546875" customWidth="1"/>
    <col min="15" max="15" width="16.140625" customWidth="1"/>
    <col min="16" max="16" width="17.28515625" customWidth="1"/>
    <col min="17" max="17" width="11.5703125" customWidth="1"/>
    <col min="18" max="18" width="13.28515625" customWidth="1"/>
    <col min="19" max="19" width="13.7109375" customWidth="1"/>
    <col min="20" max="20" width="15.5703125" customWidth="1"/>
    <col min="21" max="21" width="14.7109375" customWidth="1"/>
    <col min="22" max="22" width="15.140625" customWidth="1"/>
    <col min="23" max="23" width="14" customWidth="1"/>
  </cols>
  <sheetData>
    <row r="1" spans="1:22" x14ac:dyDescent="0.25">
      <c r="A1" s="19" t="s">
        <v>156</v>
      </c>
    </row>
    <row r="2" spans="1:22" x14ac:dyDescent="0.25">
      <c r="A2" s="19"/>
    </row>
    <row r="3" spans="1:22" x14ac:dyDescent="0.25">
      <c r="A3" s="29" t="s">
        <v>94</v>
      </c>
    </row>
    <row r="4" spans="1:22" ht="15.75" x14ac:dyDescent="0.25">
      <c r="A4" s="2" t="s">
        <v>0</v>
      </c>
      <c r="B4" s="2" t="s">
        <v>1</v>
      </c>
      <c r="C4" s="3" t="s">
        <v>9</v>
      </c>
      <c r="D4" s="53" t="s">
        <v>8</v>
      </c>
      <c r="E4" s="54"/>
      <c r="F4" s="54"/>
      <c r="G4" s="54"/>
      <c r="H4" s="54"/>
      <c r="I4" s="55" t="s">
        <v>59</v>
      </c>
      <c r="J4" s="55" t="s">
        <v>60</v>
      </c>
      <c r="K4" s="55" t="s">
        <v>62</v>
      </c>
      <c r="L4" s="55" t="s">
        <v>61</v>
      </c>
      <c r="M4" s="5" t="s">
        <v>10</v>
      </c>
      <c r="N4" s="4" t="s">
        <v>12</v>
      </c>
      <c r="O4" s="20" t="s">
        <v>13</v>
      </c>
      <c r="P4" s="6" t="s">
        <v>14</v>
      </c>
      <c r="Q4" s="5" t="s">
        <v>15</v>
      </c>
      <c r="R4" s="38"/>
      <c r="V4" t="s">
        <v>15</v>
      </c>
    </row>
    <row r="5" spans="1:22" ht="15.75" x14ac:dyDescent="0.25">
      <c r="A5" s="7"/>
      <c r="B5" s="7"/>
      <c r="C5" s="8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56"/>
      <c r="J5" s="56"/>
      <c r="K5" s="56"/>
      <c r="L5" s="56"/>
      <c r="M5" s="10" t="s">
        <v>11</v>
      </c>
      <c r="N5" s="11" t="s">
        <v>60</v>
      </c>
      <c r="O5" s="21" t="s">
        <v>166</v>
      </c>
      <c r="P5" s="12" t="s">
        <v>167</v>
      </c>
      <c r="Q5" s="10" t="s">
        <v>16</v>
      </c>
      <c r="V5" s="1"/>
    </row>
    <row r="6" spans="1:22" ht="15.75" x14ac:dyDescent="0.25">
      <c r="A6" s="2" t="s">
        <v>17</v>
      </c>
      <c r="B6" s="1" t="s">
        <v>19</v>
      </c>
      <c r="C6" s="1" t="s">
        <v>140</v>
      </c>
      <c r="D6" s="18">
        <v>24649306.023999996</v>
      </c>
      <c r="E6" s="18">
        <v>26388463.711999997</v>
      </c>
      <c r="F6" s="18">
        <v>25474317.656000007</v>
      </c>
      <c r="G6" s="18">
        <v>25889710.648000002</v>
      </c>
      <c r="H6" s="18">
        <v>21383235.272000007</v>
      </c>
      <c r="I6" s="1">
        <f>(D6+E6+F6+G6)/4</f>
        <v>25600449.510000002</v>
      </c>
      <c r="J6" s="1">
        <f>((H6-I6)/I6)*100</f>
        <v>-16.473203864458213</v>
      </c>
      <c r="K6" s="1">
        <f>('2020a'!J5+'2021a'!J5+'2022a'!J5)/3</f>
        <v>-5.1876095222967491</v>
      </c>
      <c r="L6" s="1">
        <f>J6-K6</f>
        <v>-11.285594342161463</v>
      </c>
      <c r="M6" s="33">
        <v>-12</v>
      </c>
      <c r="N6" s="1">
        <f>M6+K6</f>
        <v>-17.18760952229675</v>
      </c>
      <c r="O6" s="1">
        <f>I6+((N6*I6)/100)</f>
        <v>21200344.212268472</v>
      </c>
      <c r="P6" s="18">
        <f>H6</f>
        <v>21383235.272000007</v>
      </c>
      <c r="Q6" s="1">
        <f>-((O6-H6)/H6)*100</f>
        <v>0.8553011618920916</v>
      </c>
      <c r="V6">
        <f>(O6-P6)/P6</f>
        <v>-8.5530116189209155E-3</v>
      </c>
    </row>
    <row r="7" spans="1:22" ht="15.75" x14ac:dyDescent="0.25">
      <c r="A7" s="7" t="s">
        <v>18</v>
      </c>
      <c r="B7" s="1" t="s">
        <v>20</v>
      </c>
      <c r="C7" s="1" t="s">
        <v>141</v>
      </c>
      <c r="D7" s="18">
        <v>20767779.824000008</v>
      </c>
      <c r="E7" s="18">
        <v>29123880.240000013</v>
      </c>
      <c r="F7" s="18">
        <v>29726540.503999997</v>
      </c>
      <c r="G7" s="18">
        <v>29297503.66399999</v>
      </c>
      <c r="H7" s="18">
        <v>23369011.471999992</v>
      </c>
      <c r="I7" s="1">
        <f t="shared" ref="I7:I19" si="0">(D7+E7+F7+G7)/4</f>
        <v>27228926.058000002</v>
      </c>
      <c r="J7" s="1">
        <f>((H7-I7)/I7)*100</f>
        <v>-14.175787094129433</v>
      </c>
      <c r="K7" s="1">
        <f>('2020a'!J6+'2021a'!J6+'2022a'!J6)/3</f>
        <v>-4.9532392575701598</v>
      </c>
      <c r="L7" s="1">
        <f t="shared" ref="L7:L19" si="1">J7-K7</f>
        <v>-9.2225478365592721</v>
      </c>
      <c r="M7" s="15">
        <v>-9.7887000000000004</v>
      </c>
      <c r="N7" s="1">
        <f t="shared" ref="N7:N19" si="2">M7+K7</f>
        <v>-14.741939257570159</v>
      </c>
      <c r="O7" s="1">
        <f t="shared" ref="O7:O19" si="3">I7+((N7*I7)/100)</f>
        <v>23214854.318040948</v>
      </c>
      <c r="P7" s="18">
        <f t="shared" ref="P7:P19" si="4">H7</f>
        <v>23369011.471999992</v>
      </c>
      <c r="Q7" s="1">
        <f>-((O7-H7)/H7)*100</f>
        <v>0.65966484779961509</v>
      </c>
      <c r="V7">
        <f t="shared" ref="V7:V19" si="5">(O7-P7)/P7</f>
        <v>-6.5966484779961506E-3</v>
      </c>
    </row>
    <row r="8" spans="1:22" ht="15.75" x14ac:dyDescent="0.25">
      <c r="A8" s="2" t="s">
        <v>21</v>
      </c>
      <c r="B8" s="1" t="s">
        <v>23</v>
      </c>
      <c r="C8" s="1" t="s">
        <v>142</v>
      </c>
      <c r="D8" s="18">
        <v>22208042.696000002</v>
      </c>
      <c r="E8" s="18">
        <v>28933956.82399999</v>
      </c>
      <c r="F8" s="18">
        <v>29751614.272000015</v>
      </c>
      <c r="G8" s="18">
        <v>22312681.199999999</v>
      </c>
      <c r="H8" s="18">
        <v>20658324.559999991</v>
      </c>
      <c r="I8" s="1">
        <f t="shared" si="0"/>
        <v>25801573.748000003</v>
      </c>
      <c r="J8" s="1">
        <f t="shared" ref="J8:J19" si="6">((H8-I8)/I8)*100</f>
        <v>-19.933858446904576</v>
      </c>
      <c r="K8" s="1">
        <f>('2020a'!J7+'2021a'!J7+'2022a'!J7)/3</f>
        <v>-6.2290872305821283</v>
      </c>
      <c r="L8" s="1">
        <f t="shared" si="1"/>
        <v>-13.704771216322449</v>
      </c>
      <c r="M8" s="15">
        <v>-13.9199</v>
      </c>
      <c r="N8" s="1">
        <f t="shared" si="2"/>
        <v>-20.148987230582129</v>
      </c>
      <c r="O8" s="1">
        <f t="shared" si="3"/>
        <v>20602817.948226251</v>
      </c>
      <c r="P8" s="18">
        <f t="shared" si="4"/>
        <v>20658324.559999991</v>
      </c>
      <c r="Q8" s="1">
        <f>-((O8-H8)/H8)*100</f>
        <v>0.26868883588563647</v>
      </c>
      <c r="V8">
        <f t="shared" si="5"/>
        <v>-2.6868883588563645E-3</v>
      </c>
    </row>
    <row r="9" spans="1:22" ht="15.75" x14ac:dyDescent="0.25">
      <c r="A9" s="13" t="s">
        <v>22</v>
      </c>
      <c r="B9" s="1" t="s">
        <v>82</v>
      </c>
      <c r="C9" s="1" t="s">
        <v>143</v>
      </c>
      <c r="D9" s="18">
        <v>27025283.271999992</v>
      </c>
      <c r="E9" s="18">
        <v>21083587.744000003</v>
      </c>
      <c r="F9" s="18">
        <v>28915431.056000009</v>
      </c>
      <c r="G9" s="18">
        <v>29089796.352000002</v>
      </c>
      <c r="H9" s="18">
        <v>23414288.264000002</v>
      </c>
      <c r="I9" s="1">
        <f t="shared" si="0"/>
        <v>26528524.605999999</v>
      </c>
      <c r="J9" s="1">
        <f t="shared" si="6"/>
        <v>-11.739199176179005</v>
      </c>
      <c r="K9" s="1">
        <f>('2020a'!J8+'2021a'!J8+'2022a'!J8)/3</f>
        <v>-1.6861633723729623</v>
      </c>
      <c r="L9" s="1">
        <f t="shared" si="1"/>
        <v>-10.053035803806043</v>
      </c>
      <c r="M9" s="15">
        <v>-7.4550000000000001</v>
      </c>
      <c r="N9" s="1">
        <f t="shared" si="2"/>
        <v>-9.1411633723729615</v>
      </c>
      <c r="O9" s="1">
        <f t="shared" si="3"/>
        <v>24103508.831485379</v>
      </c>
      <c r="P9" s="18">
        <f t="shared" si="4"/>
        <v>23414288.264000002</v>
      </c>
      <c r="Q9" s="1">
        <f>((O9-H9)/H9)*100</f>
        <v>2.9435896565135802</v>
      </c>
      <c r="V9">
        <f t="shared" si="5"/>
        <v>2.9435896565135802E-2</v>
      </c>
    </row>
    <row r="10" spans="1:22" ht="15.75" x14ac:dyDescent="0.25">
      <c r="A10" s="13"/>
      <c r="B10" s="1" t="s">
        <v>25</v>
      </c>
      <c r="C10" s="1" t="s">
        <v>144</v>
      </c>
      <c r="D10" s="18">
        <v>23272361.783999994</v>
      </c>
      <c r="E10" s="18">
        <v>30686317.911999989</v>
      </c>
      <c r="F10" s="18">
        <v>29710821.192000005</v>
      </c>
      <c r="G10" s="18">
        <v>29906453.991999999</v>
      </c>
      <c r="H10" s="18">
        <v>23798220.599999998</v>
      </c>
      <c r="I10" s="1">
        <f t="shared" si="0"/>
        <v>28393988.719999995</v>
      </c>
      <c r="J10" s="1">
        <f t="shared" si="6"/>
        <v>-16.18570805715245</v>
      </c>
      <c r="K10" s="1">
        <f>('2020a'!J9+'2021a'!J9+'2022a'!J9)/3</f>
        <v>-4.518311150841698</v>
      </c>
      <c r="L10" s="1">
        <f t="shared" si="1"/>
        <v>-11.667396906310753</v>
      </c>
      <c r="M10" s="15">
        <v>-8.3452999999999999</v>
      </c>
      <c r="N10" s="1">
        <f t="shared" si="2"/>
        <v>-12.863611150841699</v>
      </c>
      <c r="O10" s="1">
        <f t="shared" si="3"/>
        <v>24741496.420845341</v>
      </c>
      <c r="P10" s="18">
        <f t="shared" si="4"/>
        <v>23798220.599999998</v>
      </c>
      <c r="Q10" s="1">
        <f>((O10-H10)/H10)*100</f>
        <v>3.9636401254526707</v>
      </c>
      <c r="V10">
        <f t="shared" si="5"/>
        <v>3.9636401254526707E-2</v>
      </c>
    </row>
    <row r="11" spans="1:22" ht="15.75" x14ac:dyDescent="0.25">
      <c r="A11" s="13"/>
      <c r="B11" s="1" t="s">
        <v>26</v>
      </c>
      <c r="C11" s="1" t="s">
        <v>145</v>
      </c>
      <c r="D11" s="18">
        <v>27210185.296000004</v>
      </c>
      <c r="E11" s="18">
        <v>27031164.551999997</v>
      </c>
      <c r="F11" s="18">
        <v>27719443.167999998</v>
      </c>
      <c r="G11" s="18">
        <v>27294018.752000004</v>
      </c>
      <c r="H11" s="18">
        <v>25703679.503999997</v>
      </c>
      <c r="I11" s="1">
        <f t="shared" si="0"/>
        <v>27313702.942000002</v>
      </c>
      <c r="J11" s="1">
        <f t="shared" si="6"/>
        <v>-5.894563038262703</v>
      </c>
      <c r="K11" s="1">
        <f>('2020a'!J10+'2021a'!J10+'2022a'!J10)/3</f>
        <v>-2.1361635756669308</v>
      </c>
      <c r="L11" s="1">
        <f t="shared" si="1"/>
        <v>-3.7583994625957722</v>
      </c>
      <c r="M11" s="15">
        <v>-10.2067</v>
      </c>
      <c r="N11" s="1">
        <f t="shared" si="2"/>
        <v>-12.34286357566693</v>
      </c>
      <c r="O11" s="1">
        <f t="shared" si="3"/>
        <v>23942409.850406017</v>
      </c>
      <c r="P11" s="18">
        <f t="shared" si="4"/>
        <v>25703679.503999997</v>
      </c>
      <c r="Q11" s="1">
        <f>((O11-H11)/H11)*100*-1</f>
        <v>6.8522082736049192</v>
      </c>
      <c r="V11">
        <f t="shared" si="5"/>
        <v>-6.8522082736049192E-2</v>
      </c>
    </row>
    <row r="12" spans="1:22" ht="15.75" x14ac:dyDescent="0.25">
      <c r="A12" s="13"/>
      <c r="B12" s="1" t="s">
        <v>35</v>
      </c>
      <c r="C12" s="1" t="s">
        <v>146</v>
      </c>
      <c r="D12" s="18">
        <v>28152490.67200001</v>
      </c>
      <c r="E12" s="18">
        <v>24068160.223999988</v>
      </c>
      <c r="F12" s="18">
        <v>21402954.399999991</v>
      </c>
      <c r="G12" s="18">
        <v>19347440.591999996</v>
      </c>
      <c r="H12" s="18">
        <v>18556039.552000005</v>
      </c>
      <c r="I12" s="1">
        <f t="shared" si="0"/>
        <v>23242761.471999995</v>
      </c>
      <c r="J12" s="1">
        <f t="shared" si="6"/>
        <v>-20.164221560531754</v>
      </c>
      <c r="K12" s="1">
        <f>('2020a'!J11+'2021a'!J11+'2022a'!J11)/3</f>
        <v>-4.5612356338052029</v>
      </c>
      <c r="L12" s="1">
        <f t="shared" si="1"/>
        <v>-15.60298592672655</v>
      </c>
      <c r="M12" s="15">
        <v>-14.015700000000001</v>
      </c>
      <c r="N12" s="1">
        <f t="shared" si="2"/>
        <v>-18.576935633805203</v>
      </c>
      <c r="O12" s="1">
        <f t="shared" si="3"/>
        <v>18924968.633827683</v>
      </c>
      <c r="P12" s="18">
        <f t="shared" si="4"/>
        <v>18556039.552000005</v>
      </c>
      <c r="Q12" s="1">
        <f>((O12-H12)/H12)*100</f>
        <v>1.9881887015481918</v>
      </c>
      <c r="T12" t="s">
        <v>201</v>
      </c>
      <c r="V12">
        <f t="shared" si="5"/>
        <v>1.9881887015481919E-2</v>
      </c>
    </row>
    <row r="13" spans="1:22" ht="15.75" x14ac:dyDescent="0.25">
      <c r="A13" s="13"/>
      <c r="B13" s="1" t="s">
        <v>36</v>
      </c>
      <c r="C13" s="1" t="s">
        <v>147</v>
      </c>
      <c r="D13" s="18">
        <v>24068160.223999988</v>
      </c>
      <c r="E13" s="18">
        <v>21402954.399999991</v>
      </c>
      <c r="F13" s="18">
        <v>19347440.591999996</v>
      </c>
      <c r="G13" s="18">
        <v>18556039.552000005</v>
      </c>
      <c r="H13" s="18">
        <v>20061147.615999997</v>
      </c>
      <c r="I13" s="1">
        <f t="shared" si="0"/>
        <v>20843648.691999994</v>
      </c>
      <c r="J13" s="1">
        <f t="shared" si="6"/>
        <v>-3.7541463472291654</v>
      </c>
      <c r="K13" s="1">
        <f>('2020a'!J12+'2021a'!J12+'2022a'!J12)/3</f>
        <v>-2.2169826982039371</v>
      </c>
      <c r="L13" s="1">
        <f t="shared" si="1"/>
        <v>-1.5371636490252283</v>
      </c>
      <c r="M13" s="34">
        <v>-3</v>
      </c>
      <c r="N13" s="1">
        <f t="shared" si="2"/>
        <v>-5.2169826982039371</v>
      </c>
      <c r="O13" s="1">
        <f t="shared" si="3"/>
        <v>19756239.146063942</v>
      </c>
      <c r="P13" s="18">
        <f t="shared" si="4"/>
        <v>20061147.615999997</v>
      </c>
      <c r="Q13" s="1">
        <f>-((O13-H13)/H13)*100</f>
        <v>1.5198954505118689</v>
      </c>
      <c r="T13" t="s">
        <v>202</v>
      </c>
      <c r="V13">
        <f t="shared" si="5"/>
        <v>-1.5198954505118689E-2</v>
      </c>
    </row>
    <row r="14" spans="1:22" ht="15.75" x14ac:dyDescent="0.25">
      <c r="A14" s="2" t="s">
        <v>21</v>
      </c>
      <c r="B14" s="1" t="s">
        <v>56</v>
      </c>
      <c r="C14" s="1" t="s">
        <v>148</v>
      </c>
      <c r="D14" s="18">
        <v>26929203.224000007</v>
      </c>
      <c r="E14" s="18">
        <v>26205002.327999994</v>
      </c>
      <c r="F14" s="18">
        <v>27649232.464000002</v>
      </c>
      <c r="G14" s="18">
        <v>28487017.607999995</v>
      </c>
      <c r="H14" s="18">
        <v>22518592.687999986</v>
      </c>
      <c r="I14" s="1">
        <f t="shared" si="0"/>
        <v>27317613.905999999</v>
      </c>
      <c r="J14" s="1">
        <f t="shared" si="6"/>
        <v>-17.567497785544013</v>
      </c>
      <c r="K14" s="1">
        <f>('2020a'!J13+'2021a'!J13+'2022a'!J13)/3</f>
        <v>-8.106170516711904</v>
      </c>
      <c r="L14" s="1">
        <f t="shared" si="1"/>
        <v>-9.4613272688321093</v>
      </c>
      <c r="M14" s="34">
        <v>-8.7813999999999997</v>
      </c>
      <c r="N14" s="1">
        <f t="shared" si="2"/>
        <v>-16.887570516711904</v>
      </c>
      <c r="O14" s="1">
        <f t="shared" si="3"/>
        <v>22704332.594141152</v>
      </c>
      <c r="P14" s="18">
        <f t="shared" si="4"/>
        <v>22518592.687999986</v>
      </c>
      <c r="Q14" s="1">
        <f>((O14-H14)/H14)*100</f>
        <v>0.82482910328648218</v>
      </c>
      <c r="V14">
        <f t="shared" si="5"/>
        <v>8.2482910328648216E-3</v>
      </c>
    </row>
    <row r="15" spans="1:22" ht="15.75" x14ac:dyDescent="0.25">
      <c r="A15" s="13" t="s">
        <v>27</v>
      </c>
      <c r="B15" s="1" t="s">
        <v>57</v>
      </c>
      <c r="C15" s="1" t="s">
        <v>149</v>
      </c>
      <c r="D15" s="18">
        <v>23185442.671999995</v>
      </c>
      <c r="E15" s="18">
        <v>30488212.287999984</v>
      </c>
      <c r="F15" s="18">
        <v>31284871.175999995</v>
      </c>
      <c r="G15" s="18">
        <v>30880025.823999994</v>
      </c>
      <c r="H15" s="18">
        <v>25094944.103999987</v>
      </c>
      <c r="I15" s="1">
        <f t="shared" si="0"/>
        <v>28959637.989999995</v>
      </c>
      <c r="J15" s="1">
        <f t="shared" si="6"/>
        <v>-13.345104270068978</v>
      </c>
      <c r="K15" s="1">
        <f>('2020a'!J14+'2021a'!J14+'2022a'!J14)/3</f>
        <v>-6.5666471610718533</v>
      </c>
      <c r="L15" s="1">
        <f t="shared" si="1"/>
        <v>-6.7784571089971246</v>
      </c>
      <c r="M15" s="15">
        <v>-7.5357000000000003</v>
      </c>
      <c r="N15" s="1">
        <f t="shared" si="2"/>
        <v>-14.102347161071854</v>
      </c>
      <c r="O15" s="1">
        <f t="shared" si="3"/>
        <v>24875649.304060545</v>
      </c>
      <c r="P15" s="18">
        <f t="shared" si="4"/>
        <v>25094944.103999987</v>
      </c>
      <c r="Q15" s="1">
        <f>-((O15-H15)/H15)*100</f>
        <v>0.87386048373181324</v>
      </c>
      <c r="V15">
        <f t="shared" si="5"/>
        <v>-8.738604837318132E-3</v>
      </c>
    </row>
    <row r="16" spans="1:22" ht="15.75" x14ac:dyDescent="0.25">
      <c r="A16" s="13"/>
      <c r="B16" s="1" t="s">
        <v>58</v>
      </c>
      <c r="C16" s="1" t="s">
        <v>133</v>
      </c>
      <c r="D16" s="18">
        <v>33735338.095999993</v>
      </c>
      <c r="E16" s="18">
        <v>32642074.944000002</v>
      </c>
      <c r="F16" s="18">
        <v>31107022.223999999</v>
      </c>
      <c r="G16" s="18">
        <v>22935017.631999999</v>
      </c>
      <c r="H16" s="18">
        <v>23465166.680000011</v>
      </c>
      <c r="I16" s="1">
        <f t="shared" si="0"/>
        <v>30104863.223999999</v>
      </c>
      <c r="J16" s="1">
        <f t="shared" si="6"/>
        <v>-22.055229065803342</v>
      </c>
      <c r="K16" s="1">
        <f>('2020a'!J15+'2021a'!J15+'2022a'!J15)/3</f>
        <v>-8.7823477538703028</v>
      </c>
      <c r="L16" s="1">
        <f t="shared" si="1"/>
        <v>-13.272881311933039</v>
      </c>
      <c r="M16" s="34">
        <v>-9.8388000000000009</v>
      </c>
      <c r="N16" s="1">
        <f t="shared" si="2"/>
        <v>-18.621147753870304</v>
      </c>
      <c r="O16" s="1">
        <f t="shared" si="3"/>
        <v>24498992.161958396</v>
      </c>
      <c r="P16" s="18">
        <f t="shared" si="4"/>
        <v>23465166.680000011</v>
      </c>
      <c r="Q16" s="1">
        <f>((O16-H16)/H16)*100</f>
        <v>4.4057879326275691</v>
      </c>
      <c r="V16">
        <f t="shared" si="5"/>
        <v>4.4057879326275688E-2</v>
      </c>
    </row>
    <row r="17" spans="1:23" ht="15.75" x14ac:dyDescent="0.25">
      <c r="A17" s="2" t="s">
        <v>21</v>
      </c>
      <c r="B17" s="22" t="s">
        <v>30</v>
      </c>
      <c r="C17" s="1" t="s">
        <v>150</v>
      </c>
      <c r="D17" s="18">
        <v>26571839.079999998</v>
      </c>
      <c r="E17" s="18">
        <v>21378547.239999987</v>
      </c>
      <c r="F17" s="18">
        <v>28930032.399999987</v>
      </c>
      <c r="G17" s="18">
        <v>29008866.071999986</v>
      </c>
      <c r="H17" s="18">
        <v>23458005.864</v>
      </c>
      <c r="I17" s="1">
        <f t="shared" si="0"/>
        <v>26472321.197999988</v>
      </c>
      <c r="J17" s="1">
        <f t="shared" si="6"/>
        <v>-11.386668027538599</v>
      </c>
      <c r="K17" s="1">
        <f>('2020a'!J16+'2021a'!J16+'2022a'!J16)/3</f>
        <v>-1.7419395877920738</v>
      </c>
      <c r="L17" s="1">
        <f t="shared" si="1"/>
        <v>-9.644728439746526</v>
      </c>
      <c r="M17" s="34">
        <v>-9</v>
      </c>
      <c r="N17" s="1">
        <f t="shared" si="2"/>
        <v>-10.741939587792073</v>
      </c>
      <c r="O17" s="1">
        <f t="shared" si="3"/>
        <v>23628680.447424553</v>
      </c>
      <c r="P17" s="18">
        <f t="shared" si="4"/>
        <v>23458005.864</v>
      </c>
      <c r="Q17" s="1">
        <f>((O17-H17)/H17)*100</f>
        <v>0.72757498831765688</v>
      </c>
      <c r="V17">
        <f t="shared" si="5"/>
        <v>7.275749883176569E-3</v>
      </c>
    </row>
    <row r="18" spans="1:23" ht="15.75" x14ac:dyDescent="0.25">
      <c r="A18" s="13" t="s">
        <v>63</v>
      </c>
      <c r="B18" s="22" t="s">
        <v>64</v>
      </c>
      <c r="C18" s="1" t="s">
        <v>151</v>
      </c>
      <c r="D18" s="18">
        <v>27701895.935999997</v>
      </c>
      <c r="E18" s="18">
        <v>27860853.456</v>
      </c>
      <c r="F18" s="18">
        <v>25524164.023999993</v>
      </c>
      <c r="G18" s="18">
        <v>26210528.944000002</v>
      </c>
      <c r="H18" s="18">
        <v>20598511.239999998</v>
      </c>
      <c r="I18" s="1">
        <f t="shared" si="0"/>
        <v>26824360.59</v>
      </c>
      <c r="J18" s="1">
        <f t="shared" si="6"/>
        <v>-23.209684082165857</v>
      </c>
      <c r="K18" s="1">
        <f>('2020a'!J17+'2021a'!J17+'2022a'!J17)/3</f>
        <v>-11.902688056370025</v>
      </c>
      <c r="L18" s="1">
        <f t="shared" si="1"/>
        <v>-11.306996025795833</v>
      </c>
      <c r="M18" s="34">
        <v>-12</v>
      </c>
      <c r="N18" s="1">
        <f t="shared" si="2"/>
        <v>-23.902688056370025</v>
      </c>
      <c r="O18" s="1">
        <f t="shared" si="3"/>
        <v>20412617.355056442</v>
      </c>
      <c r="P18" s="18">
        <f t="shared" si="4"/>
        <v>20598511.239999998</v>
      </c>
      <c r="Q18" s="1">
        <f>-((O18-H18)/H18)*100</f>
        <v>0.90246272061920174</v>
      </c>
      <c r="V18">
        <f t="shared" si="5"/>
        <v>-9.0246272061920169E-3</v>
      </c>
    </row>
    <row r="19" spans="1:23" ht="15.75" x14ac:dyDescent="0.25">
      <c r="A19" s="13" t="s">
        <v>31</v>
      </c>
      <c r="B19" s="23" t="s">
        <v>65</v>
      </c>
      <c r="C19" s="1" t="s">
        <v>152</v>
      </c>
      <c r="D19" s="18">
        <v>32850749.392000001</v>
      </c>
      <c r="E19" s="18">
        <v>26168015.472000003</v>
      </c>
      <c r="F19" s="18">
        <v>25505982.400000006</v>
      </c>
      <c r="G19" s="18">
        <v>30188564.856000021</v>
      </c>
      <c r="H19" s="18">
        <v>23319885.640000015</v>
      </c>
      <c r="I19" s="1">
        <f t="shared" si="0"/>
        <v>28678328.030000009</v>
      </c>
      <c r="J19" s="1">
        <f t="shared" si="6"/>
        <v>-18.684640137997583</v>
      </c>
      <c r="K19" s="1">
        <f>('2020a'!J18+'2021a'!J18+'2022a'!J18)/3</f>
        <v>-2.7956006578741195</v>
      </c>
      <c r="L19" s="1">
        <f t="shared" si="1"/>
        <v>-15.889039480123463</v>
      </c>
      <c r="M19" s="15">
        <v>-8.5731000000000002</v>
      </c>
      <c r="N19" s="1">
        <f t="shared" si="2"/>
        <v>-11.36870065787412</v>
      </c>
      <c r="O19" s="1">
        <f t="shared" si="3"/>
        <v>25417974.762586098</v>
      </c>
      <c r="P19" s="18">
        <f t="shared" si="4"/>
        <v>23319885.640000015</v>
      </c>
      <c r="Q19" s="1">
        <f>((O19-H19)/H19)*100</f>
        <v>8.9969957613654969</v>
      </c>
      <c r="V19">
        <f t="shared" si="5"/>
        <v>8.9969957613654977E-2</v>
      </c>
    </row>
    <row r="20" spans="1:23" ht="15.75" x14ac:dyDescent="0.25">
      <c r="A20" s="7" t="s">
        <v>32</v>
      </c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1" t="s">
        <v>96</v>
      </c>
      <c r="Q20" s="1">
        <f>SUM(Q6:Q19)/14</f>
        <v>2.5559062887969142</v>
      </c>
      <c r="R20" s="39" t="s">
        <v>198</v>
      </c>
      <c r="S20" s="39">
        <f>SQRT(SUMSQ(Q6:Q19)/COUNTA(Q6:Q19))</f>
        <v>3.6052983714996576</v>
      </c>
      <c r="T20" s="39" t="s">
        <v>199</v>
      </c>
      <c r="U20" s="39">
        <f>RSQ(O6:O19,P6:P19)</f>
        <v>0.83337865853846338</v>
      </c>
      <c r="V20" s="39" t="s">
        <v>200</v>
      </c>
      <c r="W20" s="39">
        <f t="array" ref="W20">AVERAGE(ABS(V6:V19))</f>
        <v>2.555906288796914E-2</v>
      </c>
    </row>
    <row r="22" spans="1:23" x14ac:dyDescent="0.25">
      <c r="A22" s="29" t="s">
        <v>95</v>
      </c>
    </row>
    <row r="23" spans="1:23" ht="15.75" x14ac:dyDescent="0.25">
      <c r="A23" s="2" t="s">
        <v>0</v>
      </c>
      <c r="B23" s="2" t="s">
        <v>1</v>
      </c>
      <c r="C23" s="3" t="s">
        <v>9</v>
      </c>
      <c r="D23" s="53" t="s">
        <v>8</v>
      </c>
      <c r="E23" s="54"/>
      <c r="F23" s="54"/>
      <c r="G23" s="54"/>
      <c r="H23" s="54"/>
      <c r="I23" s="55" t="s">
        <v>59</v>
      </c>
      <c r="J23" s="55" t="s">
        <v>60</v>
      </c>
      <c r="K23" s="55" t="s">
        <v>62</v>
      </c>
      <c r="L23" s="55" t="s">
        <v>61</v>
      </c>
      <c r="M23" s="5" t="s">
        <v>10</v>
      </c>
      <c r="N23" s="4" t="s">
        <v>12</v>
      </c>
      <c r="O23" s="20" t="s">
        <v>13</v>
      </c>
      <c r="P23" s="6" t="s">
        <v>14</v>
      </c>
      <c r="Q23" s="5" t="s">
        <v>15</v>
      </c>
    </row>
    <row r="24" spans="1:23" ht="15.75" x14ac:dyDescent="0.25">
      <c r="A24" s="7"/>
      <c r="B24" s="7"/>
      <c r="C24" s="8" t="s">
        <v>2</v>
      </c>
      <c r="D24" s="9" t="s">
        <v>3</v>
      </c>
      <c r="E24" s="9" t="s">
        <v>4</v>
      </c>
      <c r="F24" s="9" t="s">
        <v>5</v>
      </c>
      <c r="G24" s="9" t="s">
        <v>6</v>
      </c>
      <c r="H24" s="9" t="s">
        <v>7</v>
      </c>
      <c r="I24" s="56"/>
      <c r="J24" s="56"/>
      <c r="K24" s="56"/>
      <c r="L24" s="56"/>
      <c r="M24" s="10" t="s">
        <v>11</v>
      </c>
      <c r="N24" s="11" t="s">
        <v>60</v>
      </c>
      <c r="O24" s="21" t="s">
        <v>166</v>
      </c>
      <c r="P24" s="12" t="s">
        <v>167</v>
      </c>
      <c r="Q24" s="10" t="s">
        <v>16</v>
      </c>
    </row>
    <row r="25" spans="1:23" ht="15.75" x14ac:dyDescent="0.25">
      <c r="A25" s="2" t="s">
        <v>17</v>
      </c>
      <c r="B25" s="1" t="s">
        <v>19</v>
      </c>
      <c r="C25" s="1" t="s">
        <v>140</v>
      </c>
      <c r="D25" s="18">
        <v>24649306.023999996</v>
      </c>
      <c r="E25" s="18">
        <v>26388463.711999997</v>
      </c>
      <c r="F25" s="18">
        <v>25474317.656000007</v>
      </c>
      <c r="G25" s="18">
        <v>25889710.648000002</v>
      </c>
      <c r="H25" s="18">
        <v>21383235.272000007</v>
      </c>
      <c r="I25" s="1">
        <v>25600449.510000002</v>
      </c>
      <c r="J25" s="1">
        <v>-16.473203864458213</v>
      </c>
      <c r="K25" s="1">
        <v>-5.1876095222967491</v>
      </c>
      <c r="L25" s="1">
        <v>-11.285594342161463</v>
      </c>
      <c r="M25" s="32">
        <v>-12</v>
      </c>
      <c r="N25" s="1">
        <f>M25+K25</f>
        <v>-17.18760952229675</v>
      </c>
      <c r="O25" s="1">
        <f>I25+((N25*I25)/100)</f>
        <v>21200344.212268472</v>
      </c>
      <c r="P25" s="18">
        <f>H25</f>
        <v>21383235.272000007</v>
      </c>
      <c r="Q25" s="1">
        <f>-((O25-H25)/H25)*100</f>
        <v>0.8553011618920916</v>
      </c>
      <c r="V25">
        <f>(O25-P25)/P25</f>
        <v>-8.5530116189209155E-3</v>
      </c>
    </row>
    <row r="26" spans="1:23" ht="15.75" x14ac:dyDescent="0.25">
      <c r="A26" s="7" t="s">
        <v>18</v>
      </c>
      <c r="B26" s="1" t="s">
        <v>20</v>
      </c>
      <c r="C26" s="1" t="s">
        <v>141</v>
      </c>
      <c r="D26" s="18">
        <v>20767779.824000008</v>
      </c>
      <c r="E26" s="18">
        <v>29123880.240000013</v>
      </c>
      <c r="F26" s="18">
        <v>29726540.503999997</v>
      </c>
      <c r="G26" s="18">
        <v>29297503.66399999</v>
      </c>
      <c r="H26" s="18">
        <v>23369011.471999992</v>
      </c>
      <c r="I26" s="1">
        <v>27228926.058000002</v>
      </c>
      <c r="J26" s="1">
        <v>-14.175787094129433</v>
      </c>
      <c r="K26" s="1">
        <v>-4.9532392575701598</v>
      </c>
      <c r="L26" s="1">
        <v>-9.2225478365592721</v>
      </c>
      <c r="M26" s="32">
        <v>-10.2628</v>
      </c>
      <c r="N26" s="1">
        <f t="shared" ref="N26:N38" si="7">M26+K26</f>
        <v>-15.216039257570159</v>
      </c>
      <c r="O26" s="1">
        <f t="shared" ref="O26:O38" si="8">I26+((N26*I26)/100)</f>
        <v>23085761.979599971</v>
      </c>
      <c r="P26" s="18">
        <f t="shared" ref="P26:P38" si="9">H26</f>
        <v>23369011.471999992</v>
      </c>
      <c r="Q26" s="1">
        <f>-((O26-H26)/H26)*100</f>
        <v>1.2120730598271174</v>
      </c>
      <c r="V26">
        <f t="shared" ref="V26:V38" si="10">(O26-P26)/P26</f>
        <v>-1.2120730598271174E-2</v>
      </c>
    </row>
    <row r="27" spans="1:23" ht="15.75" x14ac:dyDescent="0.25">
      <c r="A27" s="2" t="s">
        <v>21</v>
      </c>
      <c r="B27" s="1" t="s">
        <v>23</v>
      </c>
      <c r="C27" s="1" t="s">
        <v>142</v>
      </c>
      <c r="D27" s="18">
        <v>22208042.696000002</v>
      </c>
      <c r="E27" s="18">
        <v>28933956.82399999</v>
      </c>
      <c r="F27" s="18">
        <v>29751614.272000015</v>
      </c>
      <c r="G27" s="18">
        <v>22312681.199999999</v>
      </c>
      <c r="H27" s="18">
        <v>20658324.559999991</v>
      </c>
      <c r="I27" s="1">
        <v>25801573.748000003</v>
      </c>
      <c r="J27" s="1">
        <v>-19.933858446904576</v>
      </c>
      <c r="K27" s="1">
        <v>-6.2290872305821283</v>
      </c>
      <c r="L27" s="1">
        <v>-13.704771216322449</v>
      </c>
      <c r="M27" s="1">
        <v>-13.934699999999999</v>
      </c>
      <c r="N27" s="1">
        <f t="shared" si="7"/>
        <v>-20.163787230582127</v>
      </c>
      <c r="O27" s="1">
        <f t="shared" si="8"/>
        <v>20598999.315311547</v>
      </c>
      <c r="P27" s="18">
        <f t="shared" si="9"/>
        <v>20658324.559999991</v>
      </c>
      <c r="Q27" s="1">
        <f>-((O27-H27)/H27)*100</f>
        <v>0.28717355328666527</v>
      </c>
      <c r="V27">
        <f t="shared" si="10"/>
        <v>-2.871735532866653E-3</v>
      </c>
    </row>
    <row r="28" spans="1:23" ht="15.75" x14ac:dyDescent="0.25">
      <c r="A28" s="13" t="s">
        <v>22</v>
      </c>
      <c r="B28" s="1" t="s">
        <v>82</v>
      </c>
      <c r="C28" s="1" t="s">
        <v>143</v>
      </c>
      <c r="D28" s="18">
        <v>27025283.271999992</v>
      </c>
      <c r="E28" s="18">
        <v>21083587.744000003</v>
      </c>
      <c r="F28" s="18">
        <v>28915431.056000009</v>
      </c>
      <c r="G28" s="18">
        <v>29089796.352000002</v>
      </c>
      <c r="H28" s="18">
        <v>23414288.264000002</v>
      </c>
      <c r="I28" s="1">
        <v>26528524.605999999</v>
      </c>
      <c r="J28" s="1">
        <v>-11.739199176179005</v>
      </c>
      <c r="K28" s="1">
        <v>-1.6861633723729623</v>
      </c>
      <c r="L28" s="1">
        <v>-10.053035803806043</v>
      </c>
      <c r="M28" s="31">
        <v>-7.4137000000000004</v>
      </c>
      <c r="N28" s="1">
        <f t="shared" si="7"/>
        <v>-9.0998633723729618</v>
      </c>
      <c r="O28" s="1">
        <f t="shared" si="8"/>
        <v>24114465.112147655</v>
      </c>
      <c r="P28" s="18">
        <f t="shared" si="9"/>
        <v>23414288.264000002</v>
      </c>
      <c r="Q28" s="1">
        <f>((O28-H28)/H28)*100</f>
        <v>2.9903827964063754</v>
      </c>
      <c r="V28">
        <f t="shared" si="10"/>
        <v>2.9903827964063753E-2</v>
      </c>
    </row>
    <row r="29" spans="1:23" ht="15.75" x14ac:dyDescent="0.25">
      <c r="A29" s="13"/>
      <c r="B29" s="1" t="s">
        <v>25</v>
      </c>
      <c r="C29" s="1" t="s">
        <v>144</v>
      </c>
      <c r="D29" s="18">
        <v>23272361.783999994</v>
      </c>
      <c r="E29" s="18">
        <v>30686317.911999989</v>
      </c>
      <c r="F29" s="18">
        <v>29710821.192000005</v>
      </c>
      <c r="G29" s="18">
        <v>29906453.991999999</v>
      </c>
      <c r="H29" s="18">
        <v>23798220.599999998</v>
      </c>
      <c r="I29" s="1">
        <v>28393988.719999995</v>
      </c>
      <c r="J29" s="1">
        <v>-16.18570805715245</v>
      </c>
      <c r="K29" s="1">
        <v>-4.518311150841698</v>
      </c>
      <c r="L29" s="1">
        <v>-11.667396906310753</v>
      </c>
      <c r="M29" s="1">
        <v>-9.0345999999999993</v>
      </c>
      <c r="N29" s="1">
        <f t="shared" si="7"/>
        <v>-13.552911150841698</v>
      </c>
      <c r="O29" s="1">
        <f t="shared" si="8"/>
        <v>24545776.656598382</v>
      </c>
      <c r="P29" s="18">
        <f t="shared" si="9"/>
        <v>23798220.599999998</v>
      </c>
      <c r="Q29" s="1">
        <f>((O29-H29)/H29)*100</f>
        <v>3.1412266873363799</v>
      </c>
      <c r="V29">
        <f t="shared" si="10"/>
        <v>3.1412266873363799E-2</v>
      </c>
    </row>
    <row r="30" spans="1:23" ht="15.75" x14ac:dyDescent="0.25">
      <c r="A30" s="13"/>
      <c r="B30" s="1" t="s">
        <v>26</v>
      </c>
      <c r="C30" s="1" t="s">
        <v>145</v>
      </c>
      <c r="D30" s="18">
        <v>27210185.296000004</v>
      </c>
      <c r="E30" s="18">
        <v>27031164.551999997</v>
      </c>
      <c r="F30" s="18">
        <v>27719443.167999998</v>
      </c>
      <c r="G30" s="18">
        <v>27294018.752000004</v>
      </c>
      <c r="H30" s="18">
        <v>25703679.503999997</v>
      </c>
      <c r="I30" s="1">
        <v>27313702.942000002</v>
      </c>
      <c r="J30" s="1">
        <v>-5.894563038262703</v>
      </c>
      <c r="K30" s="1">
        <v>-2.1361635756669308</v>
      </c>
      <c r="L30" s="1">
        <v>-3.7583994625957722</v>
      </c>
      <c r="M30" s="1">
        <v>-10.3849</v>
      </c>
      <c r="N30" s="1">
        <f t="shared" si="7"/>
        <v>-12.521063575666931</v>
      </c>
      <c r="O30" s="1">
        <f t="shared" si="8"/>
        <v>23893736.831763372</v>
      </c>
      <c r="P30" s="18">
        <f t="shared" si="9"/>
        <v>25703679.503999997</v>
      </c>
      <c r="Q30" s="1">
        <f>-((O30-H30)/H30)*100</f>
        <v>7.0415703399778335</v>
      </c>
      <c r="V30">
        <f t="shared" si="10"/>
        <v>-7.0415703399778332E-2</v>
      </c>
    </row>
    <row r="31" spans="1:23" ht="15.75" x14ac:dyDescent="0.25">
      <c r="A31" s="13"/>
      <c r="B31" s="1" t="s">
        <v>35</v>
      </c>
      <c r="C31" s="1" t="s">
        <v>146</v>
      </c>
      <c r="D31" s="18">
        <v>28152490.67200001</v>
      </c>
      <c r="E31" s="18">
        <v>24068160.223999988</v>
      </c>
      <c r="F31" s="18">
        <v>21402954.399999991</v>
      </c>
      <c r="G31" s="18">
        <v>19347440.591999996</v>
      </c>
      <c r="H31" s="18">
        <v>18556039.552000005</v>
      </c>
      <c r="I31" s="1">
        <v>23242761.471999995</v>
      </c>
      <c r="J31" s="1">
        <v>-20.164221560531754</v>
      </c>
      <c r="K31" s="1">
        <v>-4.5612356338052029</v>
      </c>
      <c r="L31" s="1">
        <v>-15.60298592672655</v>
      </c>
      <c r="M31" s="1">
        <v>-14.204000000000001</v>
      </c>
      <c r="N31" s="1">
        <f t="shared" si="7"/>
        <v>-18.765235633805204</v>
      </c>
      <c r="O31" s="1">
        <f t="shared" si="8"/>
        <v>18881202.513975903</v>
      </c>
      <c r="P31" s="18">
        <f t="shared" si="9"/>
        <v>18556039.552000005</v>
      </c>
      <c r="Q31" s="1">
        <f>((O31-H31)/H31)*100</f>
        <v>1.7523295370474239</v>
      </c>
      <c r="V31">
        <f t="shared" si="10"/>
        <v>1.7523295370474239E-2</v>
      </c>
    </row>
    <row r="32" spans="1:23" ht="15.75" x14ac:dyDescent="0.25">
      <c r="A32" s="13"/>
      <c r="B32" s="1" t="s">
        <v>36</v>
      </c>
      <c r="C32" s="1" t="s">
        <v>147</v>
      </c>
      <c r="D32" s="18">
        <v>24068160.223999988</v>
      </c>
      <c r="E32" s="18">
        <v>21402954.399999991</v>
      </c>
      <c r="F32" s="18">
        <v>19347440.591999996</v>
      </c>
      <c r="G32" s="18">
        <v>18556039.552000005</v>
      </c>
      <c r="H32" s="18">
        <v>20061147.615999997</v>
      </c>
      <c r="I32" s="1">
        <v>20843648.691999994</v>
      </c>
      <c r="J32" s="1">
        <v>-3.7541463472291654</v>
      </c>
      <c r="K32" s="1">
        <v>-2.2169826982039371</v>
      </c>
      <c r="L32" s="1">
        <v>-1.5371636490252283</v>
      </c>
      <c r="M32" s="32">
        <v>-3</v>
      </c>
      <c r="N32" s="1">
        <f t="shared" si="7"/>
        <v>-5.2169826982039371</v>
      </c>
      <c r="O32" s="1">
        <f t="shared" si="8"/>
        <v>19756239.146063942</v>
      </c>
      <c r="P32" s="18">
        <f t="shared" si="9"/>
        <v>20061147.615999997</v>
      </c>
      <c r="Q32" s="1">
        <f>-((O32-H32)/H32)*100</f>
        <v>1.5198954505118689</v>
      </c>
      <c r="V32">
        <f t="shared" si="10"/>
        <v>-1.5198954505118689E-2</v>
      </c>
    </row>
    <row r="33" spans="1:23" ht="15.75" x14ac:dyDescent="0.25">
      <c r="A33" s="2" t="s">
        <v>21</v>
      </c>
      <c r="B33" s="1" t="s">
        <v>56</v>
      </c>
      <c r="C33" s="1" t="s">
        <v>148</v>
      </c>
      <c r="D33" s="18">
        <v>26929203.224000007</v>
      </c>
      <c r="E33" s="18">
        <v>26205002.327999994</v>
      </c>
      <c r="F33" s="18">
        <v>27649232.464000002</v>
      </c>
      <c r="G33" s="18">
        <v>28487017.607999995</v>
      </c>
      <c r="H33" s="18">
        <v>22518592.687999986</v>
      </c>
      <c r="I33" s="1">
        <v>27317613.905999999</v>
      </c>
      <c r="J33" s="1">
        <v>-17.567497785544013</v>
      </c>
      <c r="K33" s="1">
        <v>-8.106170516711904</v>
      </c>
      <c r="L33" s="1">
        <v>-9.4613272688321093</v>
      </c>
      <c r="M33" s="32">
        <v>-8.8744999999999994</v>
      </c>
      <c r="N33" s="1">
        <f t="shared" si="7"/>
        <v>-16.980670516711903</v>
      </c>
      <c r="O33" s="1">
        <f t="shared" si="8"/>
        <v>22678899.895594668</v>
      </c>
      <c r="P33" s="18">
        <f t="shared" si="9"/>
        <v>22518592.687999986</v>
      </c>
      <c r="Q33" s="1">
        <f>((O33-H33)/H33)*100</f>
        <v>0.71188821528846347</v>
      </c>
      <c r="V33">
        <f t="shared" si="10"/>
        <v>7.1188821528846346E-3</v>
      </c>
    </row>
    <row r="34" spans="1:23" ht="15.75" x14ac:dyDescent="0.25">
      <c r="A34" s="13" t="s">
        <v>27</v>
      </c>
      <c r="B34" s="1" t="s">
        <v>57</v>
      </c>
      <c r="C34" s="1" t="s">
        <v>149</v>
      </c>
      <c r="D34" s="18">
        <v>23185442.671999995</v>
      </c>
      <c r="E34" s="18">
        <v>30488212.287999984</v>
      </c>
      <c r="F34" s="18">
        <v>31284871.175999995</v>
      </c>
      <c r="G34" s="18">
        <v>30880025.823999994</v>
      </c>
      <c r="H34" s="18">
        <v>25094944.103999987</v>
      </c>
      <c r="I34" s="1">
        <v>28959637.989999995</v>
      </c>
      <c r="J34" s="1">
        <v>-13.345104270068978</v>
      </c>
      <c r="K34" s="1">
        <v>-6.5666471610718533</v>
      </c>
      <c r="L34" s="1">
        <v>-6.7784571089971246</v>
      </c>
      <c r="M34" s="32">
        <v>-7.0827999999999998</v>
      </c>
      <c r="N34" s="1">
        <f t="shared" si="7"/>
        <v>-13.649447161071853</v>
      </c>
      <c r="O34" s="1">
        <f t="shared" si="8"/>
        <v>25006807.504517253</v>
      </c>
      <c r="P34" s="18">
        <f t="shared" si="9"/>
        <v>25094944.103999987</v>
      </c>
      <c r="Q34" s="1">
        <f>-((O34-H34)/H34)*100</f>
        <v>0.35121257539954154</v>
      </c>
      <c r="V34">
        <f t="shared" si="10"/>
        <v>-3.5121257539954152E-3</v>
      </c>
    </row>
    <row r="35" spans="1:23" ht="15.75" x14ac:dyDescent="0.25">
      <c r="A35" s="13"/>
      <c r="B35" s="1" t="s">
        <v>58</v>
      </c>
      <c r="C35" s="1" t="s">
        <v>133</v>
      </c>
      <c r="D35" s="18">
        <v>33735338.095999993</v>
      </c>
      <c r="E35" s="18">
        <v>32642074.944000002</v>
      </c>
      <c r="F35" s="18">
        <v>31107022.223999999</v>
      </c>
      <c r="G35" s="18">
        <v>22935017.631999999</v>
      </c>
      <c r="H35" s="18">
        <v>23465166.680000011</v>
      </c>
      <c r="I35" s="1">
        <v>30104863.223999999</v>
      </c>
      <c r="J35" s="1">
        <v>-22.055229065803342</v>
      </c>
      <c r="K35" s="1">
        <v>-8.7823477538703028</v>
      </c>
      <c r="L35" s="1">
        <v>-13.272881311933039</v>
      </c>
      <c r="M35" s="32">
        <v>-10.4534</v>
      </c>
      <c r="N35" s="1">
        <f t="shared" si="7"/>
        <v>-19.235747753870303</v>
      </c>
      <c r="O35" s="1">
        <f t="shared" si="8"/>
        <v>24313967.672583692</v>
      </c>
      <c r="P35" s="18">
        <f t="shared" si="9"/>
        <v>23465166.680000011</v>
      </c>
      <c r="Q35" s="1">
        <f>((O35-H35)/H35)*100</f>
        <v>3.6172809004895612</v>
      </c>
      <c r="V35">
        <f t="shared" si="10"/>
        <v>3.6172809004895612E-2</v>
      </c>
    </row>
    <row r="36" spans="1:23" ht="15.75" x14ac:dyDescent="0.25">
      <c r="A36" s="2" t="s">
        <v>21</v>
      </c>
      <c r="B36" s="22" t="s">
        <v>30</v>
      </c>
      <c r="C36" s="1" t="s">
        <v>150</v>
      </c>
      <c r="D36" s="18">
        <v>26571839.079999998</v>
      </c>
      <c r="E36" s="18">
        <v>21378547.239999987</v>
      </c>
      <c r="F36" s="18">
        <v>28930032.399999987</v>
      </c>
      <c r="G36" s="18">
        <v>29008866.071999986</v>
      </c>
      <c r="H36" s="18">
        <v>23458005.864</v>
      </c>
      <c r="I36" s="1">
        <v>26472321.197999988</v>
      </c>
      <c r="J36" s="1">
        <v>-11.386668027538599</v>
      </c>
      <c r="K36" s="1">
        <v>-1.7419395877920738</v>
      </c>
      <c r="L36" s="1">
        <v>-9.644728439746526</v>
      </c>
      <c r="M36" s="32">
        <v>-9</v>
      </c>
      <c r="N36" s="1">
        <f t="shared" si="7"/>
        <v>-10.741939587792073</v>
      </c>
      <c r="O36" s="1">
        <f t="shared" si="8"/>
        <v>23628680.447424553</v>
      </c>
      <c r="P36" s="18">
        <f t="shared" si="9"/>
        <v>23458005.864</v>
      </c>
      <c r="Q36" s="1">
        <f>((O36-H36)/H36)*100</f>
        <v>0.72757498831765688</v>
      </c>
      <c r="V36">
        <f t="shared" si="10"/>
        <v>7.275749883176569E-3</v>
      </c>
    </row>
    <row r="37" spans="1:23" ht="15.75" x14ac:dyDescent="0.25">
      <c r="A37" s="13" t="s">
        <v>63</v>
      </c>
      <c r="B37" s="22" t="s">
        <v>64</v>
      </c>
      <c r="C37" s="1" t="s">
        <v>151</v>
      </c>
      <c r="D37" s="18">
        <v>27701895.935999997</v>
      </c>
      <c r="E37" s="18">
        <v>27860853.456</v>
      </c>
      <c r="F37" s="18">
        <v>25524164.023999993</v>
      </c>
      <c r="G37" s="18">
        <v>26210528.944000002</v>
      </c>
      <c r="H37" s="18">
        <v>20598511.239999998</v>
      </c>
      <c r="I37" s="1">
        <v>26824360.59</v>
      </c>
      <c r="J37" s="1">
        <v>-23.209684082165857</v>
      </c>
      <c r="K37" s="1">
        <v>-11.902688056370025</v>
      </c>
      <c r="L37" s="1">
        <v>-11.306996025795833</v>
      </c>
      <c r="M37" s="32">
        <v>-12</v>
      </c>
      <c r="N37" s="1">
        <f t="shared" si="7"/>
        <v>-23.902688056370025</v>
      </c>
      <c r="O37" s="1">
        <f t="shared" si="8"/>
        <v>20412617.355056442</v>
      </c>
      <c r="P37" s="18">
        <f t="shared" si="9"/>
        <v>20598511.239999998</v>
      </c>
      <c r="Q37" s="1">
        <f>-((O37-H37)/H37)*100</f>
        <v>0.90246272061920174</v>
      </c>
      <c r="V37">
        <f t="shared" si="10"/>
        <v>-9.0246272061920169E-3</v>
      </c>
    </row>
    <row r="38" spans="1:23" ht="15.75" x14ac:dyDescent="0.25">
      <c r="A38" s="13" t="s">
        <v>31</v>
      </c>
      <c r="B38" s="23" t="s">
        <v>65</v>
      </c>
      <c r="C38" s="1" t="s">
        <v>152</v>
      </c>
      <c r="D38" s="18">
        <v>32850749.392000001</v>
      </c>
      <c r="E38" s="18">
        <v>26168015.472000003</v>
      </c>
      <c r="F38" s="18">
        <v>25505982.400000006</v>
      </c>
      <c r="G38" s="18">
        <v>30188564.856000021</v>
      </c>
      <c r="H38" s="18">
        <v>23319885.640000015</v>
      </c>
      <c r="I38" s="1">
        <v>28678328.030000009</v>
      </c>
      <c r="J38" s="1">
        <v>-18.684640137997583</v>
      </c>
      <c r="K38" s="1">
        <v>-2.7956006578741195</v>
      </c>
      <c r="L38" s="1">
        <v>-15.889039480123463</v>
      </c>
      <c r="M38" s="1">
        <v>-9.3435000000000006</v>
      </c>
      <c r="N38" s="1">
        <f t="shared" si="7"/>
        <v>-12.139100657874121</v>
      </c>
      <c r="O38" s="1">
        <f t="shared" si="8"/>
        <v>25197036.923442978</v>
      </c>
      <c r="P38" s="18">
        <f t="shared" si="9"/>
        <v>23319885.640000015</v>
      </c>
      <c r="Q38" s="1">
        <f>((O38-H38)/H38)*100</f>
        <v>8.0495732801670883</v>
      </c>
      <c r="V38">
        <f t="shared" si="10"/>
        <v>8.0495732801670883E-2</v>
      </c>
    </row>
    <row r="39" spans="1:23" ht="15.75" x14ac:dyDescent="0.25">
      <c r="A39" s="7" t="s">
        <v>32</v>
      </c>
      <c r="B39" s="22"/>
      <c r="C39" s="1"/>
      <c r="D39" s="18"/>
      <c r="E39" s="18"/>
      <c r="F39" s="18"/>
      <c r="G39" s="18"/>
      <c r="H39" s="18"/>
      <c r="I39" s="1"/>
      <c r="J39" s="1"/>
      <c r="K39" s="1"/>
      <c r="L39" s="1"/>
      <c r="M39" s="1"/>
      <c r="N39" s="1"/>
      <c r="O39" s="1"/>
      <c r="P39" s="1" t="s">
        <v>96</v>
      </c>
      <c r="Q39" s="1">
        <f>SUM(Q25:Q38)/14</f>
        <v>2.3685675190405187</v>
      </c>
      <c r="R39" s="39" t="s">
        <v>198</v>
      </c>
      <c r="S39" s="39">
        <f>SQRT(SUMSQ(Q25:Q38)/COUNTA(Q25:Q38))</f>
        <v>3.3371455785636113</v>
      </c>
      <c r="T39" s="39" t="s">
        <v>199</v>
      </c>
      <c r="U39" s="39">
        <f>RSQ(O25:O38,P25:P38)</f>
        <v>0.84879167679688006</v>
      </c>
      <c r="V39" s="39" t="s">
        <v>200</v>
      </c>
      <c r="W39" s="39">
        <f t="array" ref="W39">AVERAGE(ABS(V25:V38))</f>
        <v>2.3685675190405191E-2</v>
      </c>
    </row>
    <row r="40" spans="1:23" ht="15.75" x14ac:dyDescent="0.25">
      <c r="A40" s="17"/>
      <c r="B40" s="17"/>
      <c r="C40" s="17"/>
      <c r="D40" s="35"/>
      <c r="E40" s="35"/>
      <c r="F40" s="35"/>
      <c r="G40" s="35"/>
      <c r="H40" s="35"/>
      <c r="I40" s="17"/>
      <c r="J40" s="17"/>
      <c r="K40" s="17"/>
      <c r="L40" s="17"/>
      <c r="M40" s="17"/>
      <c r="N40" s="17"/>
      <c r="O40" s="17"/>
      <c r="P40" s="17"/>
      <c r="Q40" s="17"/>
    </row>
    <row r="41" spans="1:23" ht="15.75" x14ac:dyDescent="0.25">
      <c r="A41" s="36" t="s">
        <v>196</v>
      </c>
      <c r="B41" s="17"/>
      <c r="C41" s="17"/>
      <c r="D41" s="35"/>
      <c r="E41" s="35"/>
      <c r="F41" s="35"/>
      <c r="G41" s="35"/>
      <c r="H41" s="35"/>
      <c r="I41" s="17"/>
      <c r="J41" s="17"/>
      <c r="K41" s="17"/>
      <c r="L41" s="17"/>
      <c r="M41" s="17"/>
      <c r="N41" s="17"/>
      <c r="O41" s="17"/>
      <c r="P41" s="17"/>
      <c r="Q41" s="17"/>
    </row>
    <row r="42" spans="1:23" ht="15.75" x14ac:dyDescent="0.25">
      <c r="A42" s="2" t="s">
        <v>0</v>
      </c>
      <c r="B42" s="2" t="s">
        <v>1</v>
      </c>
      <c r="C42" s="3" t="s">
        <v>9</v>
      </c>
      <c r="D42" s="53" t="s">
        <v>8</v>
      </c>
      <c r="E42" s="54"/>
      <c r="F42" s="54"/>
      <c r="G42" s="54"/>
      <c r="H42" s="54"/>
      <c r="I42" s="55" t="s">
        <v>59</v>
      </c>
      <c r="J42" s="55" t="s">
        <v>60</v>
      </c>
      <c r="K42" s="55" t="s">
        <v>62</v>
      </c>
      <c r="L42" s="55" t="s">
        <v>61</v>
      </c>
      <c r="M42" s="5" t="s">
        <v>10</v>
      </c>
      <c r="N42" s="4" t="s">
        <v>12</v>
      </c>
      <c r="O42" s="20" t="s">
        <v>13</v>
      </c>
      <c r="P42" s="6" t="s">
        <v>14</v>
      </c>
      <c r="Q42" s="5" t="s">
        <v>15</v>
      </c>
    </row>
    <row r="43" spans="1:23" ht="15.75" x14ac:dyDescent="0.25">
      <c r="A43" s="7"/>
      <c r="B43" s="7"/>
      <c r="C43" s="8" t="s">
        <v>2</v>
      </c>
      <c r="D43" s="9" t="s">
        <v>3</v>
      </c>
      <c r="E43" s="9" t="s">
        <v>4</v>
      </c>
      <c r="F43" s="9" t="s">
        <v>5</v>
      </c>
      <c r="G43" s="9" t="s">
        <v>6</v>
      </c>
      <c r="H43" s="9" t="s">
        <v>7</v>
      </c>
      <c r="I43" s="56"/>
      <c r="J43" s="56"/>
      <c r="K43" s="56"/>
      <c r="L43" s="56"/>
      <c r="M43" s="10" t="s">
        <v>11</v>
      </c>
      <c r="N43" s="11" t="s">
        <v>60</v>
      </c>
      <c r="O43" s="21" t="s">
        <v>166</v>
      </c>
      <c r="P43" s="12" t="s">
        <v>167</v>
      </c>
      <c r="Q43" s="10" t="s">
        <v>16</v>
      </c>
    </row>
    <row r="44" spans="1:23" ht="15.75" x14ac:dyDescent="0.25">
      <c r="A44" s="2" t="s">
        <v>17</v>
      </c>
      <c r="B44" s="1" t="s">
        <v>19</v>
      </c>
      <c r="C44" s="1" t="s">
        <v>140</v>
      </c>
      <c r="D44" s="18">
        <v>24649306.023999996</v>
      </c>
      <c r="E44" s="18">
        <v>26388463.711999997</v>
      </c>
      <c r="F44" s="18">
        <v>25474317.656000007</v>
      </c>
      <c r="G44" s="18">
        <v>25889710.648000002</v>
      </c>
      <c r="H44" s="18">
        <v>21383235.272000007</v>
      </c>
      <c r="I44" s="1">
        <v>25600449.510000002</v>
      </c>
      <c r="J44" s="1">
        <v>-16.473203864458213</v>
      </c>
      <c r="K44" s="1">
        <v>-5.1876095222967491</v>
      </c>
      <c r="L44" s="1">
        <v>-11.285594342161463</v>
      </c>
      <c r="M44" s="32">
        <v>-11.9628</v>
      </c>
      <c r="N44" s="1">
        <f>M44+K44</f>
        <v>-17.150409522296748</v>
      </c>
      <c r="O44" s="1">
        <f>I44+((N44*I44)/100)</f>
        <v>21209867.579486191</v>
      </c>
      <c r="P44" s="18">
        <f>H44</f>
        <v>21383235.272000007</v>
      </c>
      <c r="Q44" s="1">
        <f>-((O44-H44)/H44)*100</f>
        <v>0.81076455601098907</v>
      </c>
      <c r="V44">
        <f>(O44-P44)/P44</f>
        <v>-8.1076455601098909E-3</v>
      </c>
    </row>
    <row r="45" spans="1:23" ht="15.75" x14ac:dyDescent="0.25">
      <c r="A45" s="7" t="s">
        <v>18</v>
      </c>
      <c r="B45" s="1" t="s">
        <v>20</v>
      </c>
      <c r="C45" s="1" t="s">
        <v>141</v>
      </c>
      <c r="D45" s="18">
        <v>20767779.824000008</v>
      </c>
      <c r="E45" s="18">
        <v>29123880.240000013</v>
      </c>
      <c r="F45" s="18">
        <v>29726540.503999997</v>
      </c>
      <c r="G45" s="18">
        <v>29297503.66399999</v>
      </c>
      <c r="H45" s="18">
        <v>23369011.471999992</v>
      </c>
      <c r="I45" s="1">
        <v>27228926.058000002</v>
      </c>
      <c r="J45" s="1">
        <v>-14.175787094129433</v>
      </c>
      <c r="K45" s="1">
        <v>-4.9532392575701598</v>
      </c>
      <c r="L45" s="1">
        <v>-9.2225478365592721</v>
      </c>
      <c r="M45" s="32">
        <v>-10.2758</v>
      </c>
      <c r="N45" s="1">
        <f t="shared" ref="N45:N57" si="11">M45+K45</f>
        <v>-15.229039257570161</v>
      </c>
      <c r="O45" s="1">
        <f t="shared" ref="O45:O57" si="12">I45+((N45*I45)/100)</f>
        <v>23082222.219212431</v>
      </c>
      <c r="P45" s="18">
        <f t="shared" ref="P45:P57" si="13">H45</f>
        <v>23369011.471999992</v>
      </c>
      <c r="Q45" s="1">
        <f>-((O45-H45)/H45)*100</f>
        <v>1.2272203004015896</v>
      </c>
      <c r="V45">
        <f t="shared" ref="V45:V57" si="14">(O45-P45)/P45</f>
        <v>-1.2272203004015896E-2</v>
      </c>
    </row>
    <row r="46" spans="1:23" ht="15.75" x14ac:dyDescent="0.25">
      <c r="A46" s="2" t="s">
        <v>21</v>
      </c>
      <c r="B46" s="1" t="s">
        <v>23</v>
      </c>
      <c r="C46" s="1" t="s">
        <v>142</v>
      </c>
      <c r="D46" s="18">
        <v>22208042.696000002</v>
      </c>
      <c r="E46" s="18">
        <v>28933956.82399999</v>
      </c>
      <c r="F46" s="18">
        <v>29751614.272000015</v>
      </c>
      <c r="G46" s="18">
        <v>22312681.199999999</v>
      </c>
      <c r="H46" s="18">
        <v>20658324.559999991</v>
      </c>
      <c r="I46" s="1">
        <v>25801573.748000003</v>
      </c>
      <c r="J46" s="1">
        <v>-19.933858446904576</v>
      </c>
      <c r="K46" s="1">
        <v>-6.2290872305821283</v>
      </c>
      <c r="L46" s="1">
        <v>-13.704771216322449</v>
      </c>
      <c r="M46" s="1">
        <v>-13.65</v>
      </c>
      <c r="N46" s="1">
        <f t="shared" si="11"/>
        <v>-19.87908723058213</v>
      </c>
      <c r="O46" s="1">
        <f t="shared" si="12"/>
        <v>20672456.395772103</v>
      </c>
      <c r="P46" s="18">
        <f t="shared" si="13"/>
        <v>20658324.559999991</v>
      </c>
      <c r="Q46" s="1">
        <f>((O46-H46)/H46)*100</f>
        <v>6.8407463204808991E-2</v>
      </c>
      <c r="V46">
        <f t="shared" si="14"/>
        <v>6.8407463204808987E-4</v>
      </c>
    </row>
    <row r="47" spans="1:23" ht="15.75" x14ac:dyDescent="0.25">
      <c r="A47" s="13" t="s">
        <v>22</v>
      </c>
      <c r="B47" s="1" t="s">
        <v>82</v>
      </c>
      <c r="C47" s="1" t="s">
        <v>143</v>
      </c>
      <c r="D47" s="18">
        <v>27025283.271999992</v>
      </c>
      <c r="E47" s="18">
        <v>21083587.744000003</v>
      </c>
      <c r="F47" s="18">
        <v>28915431.056000009</v>
      </c>
      <c r="G47" s="18">
        <v>29089796.352000002</v>
      </c>
      <c r="H47" s="18">
        <v>23414288.264000002</v>
      </c>
      <c r="I47" s="1">
        <v>26528524.605999999</v>
      </c>
      <c r="J47" s="1">
        <v>-11.739199176179005</v>
      </c>
      <c r="K47" s="1">
        <v>-1.6861633723729623</v>
      </c>
      <c r="L47" s="1">
        <v>-10.053035803806043</v>
      </c>
      <c r="M47" s="31">
        <v>-7.8532999999999999</v>
      </c>
      <c r="N47" s="1">
        <f t="shared" si="11"/>
        <v>-9.5394633723729623</v>
      </c>
      <c r="O47" s="1">
        <f t="shared" si="12"/>
        <v>23997845.717979681</v>
      </c>
      <c r="P47" s="18">
        <f t="shared" si="13"/>
        <v>23414288.264000002</v>
      </c>
      <c r="Q47" s="1">
        <f>((O47-H47)/H47)*100</f>
        <v>2.4923134429711076</v>
      </c>
      <c r="V47">
        <f t="shared" si="14"/>
        <v>2.4923134429711075E-2</v>
      </c>
    </row>
    <row r="48" spans="1:23" ht="15.75" x14ac:dyDescent="0.25">
      <c r="A48" s="13"/>
      <c r="B48" s="1" t="s">
        <v>25</v>
      </c>
      <c r="C48" s="1" t="s">
        <v>144</v>
      </c>
      <c r="D48" s="18">
        <v>23272361.783999994</v>
      </c>
      <c r="E48" s="18">
        <v>30686317.911999989</v>
      </c>
      <c r="F48" s="18">
        <v>29710821.192000005</v>
      </c>
      <c r="G48" s="18">
        <v>29906453.991999999</v>
      </c>
      <c r="H48" s="18">
        <v>23798220.599999998</v>
      </c>
      <c r="I48" s="1">
        <v>28393988.719999995</v>
      </c>
      <c r="J48" s="1">
        <v>-16.18570805715245</v>
      </c>
      <c r="K48" s="1">
        <v>-4.518311150841698</v>
      </c>
      <c r="L48" s="1">
        <v>-11.667396906310753</v>
      </c>
      <c r="M48" s="1">
        <v>-9.2979000000000003</v>
      </c>
      <c r="N48" s="1">
        <f t="shared" si="11"/>
        <v>-13.816211150841699</v>
      </c>
      <c r="O48" s="1">
        <f t="shared" si="12"/>
        <v>24471015.284298621</v>
      </c>
      <c r="P48" s="18">
        <f t="shared" si="13"/>
        <v>23798220.599999998</v>
      </c>
      <c r="Q48" s="1">
        <f>((O48-H48)/H48)*100</f>
        <v>2.8270797872115843</v>
      </c>
      <c r="V48">
        <f t="shared" si="14"/>
        <v>2.8270797872115842E-2</v>
      </c>
    </row>
    <row r="49" spans="1:23" ht="15.75" x14ac:dyDescent="0.25">
      <c r="A49" s="13"/>
      <c r="B49" s="1" t="s">
        <v>26</v>
      </c>
      <c r="C49" s="1" t="s">
        <v>145</v>
      </c>
      <c r="D49" s="18">
        <v>27210185.296000004</v>
      </c>
      <c r="E49" s="18">
        <v>27031164.551999997</v>
      </c>
      <c r="F49" s="18">
        <v>27719443.167999998</v>
      </c>
      <c r="G49" s="18">
        <v>27294018.752000004</v>
      </c>
      <c r="H49" s="18">
        <v>25703679.503999997</v>
      </c>
      <c r="I49" s="1">
        <v>27313702.942000002</v>
      </c>
      <c r="J49" s="1">
        <v>-5.894563038262703</v>
      </c>
      <c r="K49" s="1">
        <v>-2.1361635756669308</v>
      </c>
      <c r="L49" s="1">
        <v>-3.7583994625957722</v>
      </c>
      <c r="M49" s="1">
        <v>-9.15</v>
      </c>
      <c r="N49" s="1">
        <f t="shared" si="11"/>
        <v>-11.286163575666931</v>
      </c>
      <c r="O49" s="1">
        <f t="shared" si="12"/>
        <v>24231033.74939413</v>
      </c>
      <c r="P49" s="18">
        <f t="shared" si="13"/>
        <v>25703679.503999997</v>
      </c>
      <c r="Q49" s="1">
        <f>-((O49-H49)/H49)*100</f>
        <v>5.7293188485978996</v>
      </c>
      <c r="V49">
        <f t="shared" si="14"/>
        <v>-5.7293188485978995E-2</v>
      </c>
    </row>
    <row r="50" spans="1:23" ht="15.75" x14ac:dyDescent="0.25">
      <c r="A50" s="13"/>
      <c r="B50" s="1" t="s">
        <v>35</v>
      </c>
      <c r="C50" s="1" t="s">
        <v>146</v>
      </c>
      <c r="D50" s="18">
        <v>28152490.67200001</v>
      </c>
      <c r="E50" s="18">
        <v>24068160.223999988</v>
      </c>
      <c r="F50" s="18">
        <v>21402954.399999991</v>
      </c>
      <c r="G50" s="18">
        <v>19347440.591999996</v>
      </c>
      <c r="H50" s="18">
        <v>18556039.552000005</v>
      </c>
      <c r="I50" s="1">
        <v>23242761.471999995</v>
      </c>
      <c r="J50" s="1">
        <v>-20.164221560531754</v>
      </c>
      <c r="K50" s="1">
        <v>-4.5612356338052029</v>
      </c>
      <c r="L50" s="1">
        <v>-15.60298592672655</v>
      </c>
      <c r="M50" s="1">
        <v>-14.2387</v>
      </c>
      <c r="N50" s="1">
        <f t="shared" si="11"/>
        <v>-18.799935633805202</v>
      </c>
      <c r="O50" s="1">
        <f t="shared" si="12"/>
        <v>18873137.275745124</v>
      </c>
      <c r="P50" s="18">
        <f t="shared" si="13"/>
        <v>18556039.552000005</v>
      </c>
      <c r="Q50" s="1">
        <f>((O50-H50)/H50)*100</f>
        <v>1.7088653150178343</v>
      </c>
      <c r="V50">
        <f t="shared" si="14"/>
        <v>1.7088653150178344E-2</v>
      </c>
    </row>
    <row r="51" spans="1:23" ht="15.75" x14ac:dyDescent="0.25">
      <c r="A51" s="13"/>
      <c r="B51" s="1" t="s">
        <v>36</v>
      </c>
      <c r="C51" s="1" t="s">
        <v>147</v>
      </c>
      <c r="D51" s="18">
        <v>24068160.223999988</v>
      </c>
      <c r="E51" s="18">
        <v>21402954.399999991</v>
      </c>
      <c r="F51" s="18">
        <v>19347440.591999996</v>
      </c>
      <c r="G51" s="18">
        <v>18556039.552000005</v>
      </c>
      <c r="H51" s="18">
        <v>20061147.615999997</v>
      </c>
      <c r="I51" s="1">
        <v>20843648.691999994</v>
      </c>
      <c r="J51" s="1">
        <v>-3.7541463472291654</v>
      </c>
      <c r="K51" s="1">
        <v>-2.2169826982039371</v>
      </c>
      <c r="L51" s="1">
        <v>-1.5371636490252283</v>
      </c>
      <c r="M51" s="32">
        <v>-2.9333</v>
      </c>
      <c r="N51" s="1">
        <f t="shared" si="11"/>
        <v>-5.1502826982039371</v>
      </c>
      <c r="O51" s="1">
        <f t="shared" si="12"/>
        <v>19770141.859741509</v>
      </c>
      <c r="P51" s="18">
        <f t="shared" si="13"/>
        <v>20061147.615999997</v>
      </c>
      <c r="Q51" s="1">
        <f>-((O51-H51)/H51)*100</f>
        <v>1.4505937637704871</v>
      </c>
      <c r="V51">
        <f t="shared" si="14"/>
        <v>-1.4505937637704872E-2</v>
      </c>
    </row>
    <row r="52" spans="1:23" ht="15.75" x14ac:dyDescent="0.25">
      <c r="A52" s="2" t="s">
        <v>21</v>
      </c>
      <c r="B52" s="1" t="s">
        <v>56</v>
      </c>
      <c r="C52" s="1" t="s">
        <v>148</v>
      </c>
      <c r="D52" s="18">
        <v>26929203.224000007</v>
      </c>
      <c r="E52" s="18">
        <v>26205002.327999994</v>
      </c>
      <c r="F52" s="18">
        <v>27649232.464000002</v>
      </c>
      <c r="G52" s="18">
        <v>28487017.607999995</v>
      </c>
      <c r="H52" s="18">
        <v>22518592.687999986</v>
      </c>
      <c r="I52" s="1">
        <v>27317613.905999999</v>
      </c>
      <c r="J52" s="1">
        <v>-17.567497785544013</v>
      </c>
      <c r="K52" s="1">
        <v>-8.106170516711904</v>
      </c>
      <c r="L52" s="1">
        <v>-9.4613272688321093</v>
      </c>
      <c r="M52" s="32">
        <v>-8.9575999999999993</v>
      </c>
      <c r="N52" s="1">
        <f t="shared" si="11"/>
        <v>-17.063770516711905</v>
      </c>
      <c r="O52" s="1">
        <f t="shared" si="12"/>
        <v>22656198.95843878</v>
      </c>
      <c r="P52" s="18">
        <f t="shared" si="13"/>
        <v>22518592.687999986</v>
      </c>
      <c r="Q52" s="1">
        <f>((O52-H52)/H52)*100</f>
        <v>0.61107846456196868</v>
      </c>
      <c r="V52">
        <f t="shared" si="14"/>
        <v>6.1107846456196864E-3</v>
      </c>
    </row>
    <row r="53" spans="1:23" ht="15.75" x14ac:dyDescent="0.25">
      <c r="A53" s="13" t="s">
        <v>27</v>
      </c>
      <c r="B53" s="1" t="s">
        <v>57</v>
      </c>
      <c r="C53" s="1" t="s">
        <v>149</v>
      </c>
      <c r="D53" s="18">
        <v>23185442.671999995</v>
      </c>
      <c r="E53" s="18">
        <v>30488212.287999984</v>
      </c>
      <c r="F53" s="18">
        <v>31284871.175999995</v>
      </c>
      <c r="G53" s="18">
        <v>30880025.823999994</v>
      </c>
      <c r="H53" s="18">
        <v>25094944.103999987</v>
      </c>
      <c r="I53" s="1">
        <v>28959637.989999995</v>
      </c>
      <c r="J53" s="1">
        <v>-13.345104270068978</v>
      </c>
      <c r="K53" s="1">
        <v>-6.5666471610718533</v>
      </c>
      <c r="L53" s="1">
        <v>-6.7784571089971246</v>
      </c>
      <c r="M53" s="32">
        <v>-6.9804000000000004</v>
      </c>
      <c r="N53" s="1">
        <f t="shared" si="11"/>
        <v>-13.547047161071854</v>
      </c>
      <c r="O53" s="1">
        <f t="shared" si="12"/>
        <v>25036462.173819013</v>
      </c>
      <c r="P53" s="18">
        <f t="shared" si="13"/>
        <v>25094944.103999987</v>
      </c>
      <c r="Q53" s="1">
        <f>-((O53-H53)/H53)*100</f>
        <v>0.23304267958760916</v>
      </c>
      <c r="V53">
        <f t="shared" si="14"/>
        <v>-2.3304267958760916E-3</v>
      </c>
    </row>
    <row r="54" spans="1:23" ht="15.75" x14ac:dyDescent="0.25">
      <c r="A54" s="13"/>
      <c r="B54" s="1" t="s">
        <v>58</v>
      </c>
      <c r="C54" s="1" t="s">
        <v>133</v>
      </c>
      <c r="D54" s="18">
        <v>33735338.095999993</v>
      </c>
      <c r="E54" s="18">
        <v>32642074.944000002</v>
      </c>
      <c r="F54" s="18">
        <v>31107022.223999999</v>
      </c>
      <c r="G54" s="18">
        <v>22935017.631999999</v>
      </c>
      <c r="H54" s="18">
        <v>23465166.680000011</v>
      </c>
      <c r="I54" s="1">
        <v>30104863.223999999</v>
      </c>
      <c r="J54" s="1">
        <v>-22.055229065803342</v>
      </c>
      <c r="K54" s="1">
        <v>-8.7823477538703028</v>
      </c>
      <c r="L54" s="1">
        <v>-13.272881311933039</v>
      </c>
      <c r="M54" s="32">
        <v>-10.521000000000001</v>
      </c>
      <c r="N54" s="1">
        <f t="shared" si="11"/>
        <v>-19.303347753870305</v>
      </c>
      <c r="O54" s="1">
        <f t="shared" si="12"/>
        <v>24293616.785044268</v>
      </c>
      <c r="P54" s="18">
        <f t="shared" si="13"/>
        <v>23465166.680000011</v>
      </c>
      <c r="Q54" s="1">
        <f>((O54-H54)/H54)*100</f>
        <v>3.5305528247125859</v>
      </c>
      <c r="V54">
        <f t="shared" si="14"/>
        <v>3.5305528247125857E-2</v>
      </c>
    </row>
    <row r="55" spans="1:23" ht="15.75" x14ac:dyDescent="0.25">
      <c r="A55" s="2" t="s">
        <v>21</v>
      </c>
      <c r="B55" s="22" t="s">
        <v>30</v>
      </c>
      <c r="C55" s="1" t="s">
        <v>150</v>
      </c>
      <c r="D55" s="18">
        <v>26571839.079999998</v>
      </c>
      <c r="E55" s="18">
        <v>21378547.239999987</v>
      </c>
      <c r="F55" s="18">
        <v>28930032.399999987</v>
      </c>
      <c r="G55" s="18">
        <v>29008866.071999986</v>
      </c>
      <c r="H55" s="18">
        <v>23458005.864</v>
      </c>
      <c r="I55" s="1">
        <v>26472321.197999988</v>
      </c>
      <c r="J55" s="1">
        <v>-11.386668027538599</v>
      </c>
      <c r="K55" s="1">
        <v>-1.7419395877920738</v>
      </c>
      <c r="L55" s="1">
        <v>-9.644728439746526</v>
      </c>
      <c r="M55" s="32">
        <v>-9.0707000000000004</v>
      </c>
      <c r="N55" s="1">
        <f t="shared" si="11"/>
        <v>-10.812639587792074</v>
      </c>
      <c r="O55" s="1">
        <f t="shared" si="12"/>
        <v>23609964.51633757</v>
      </c>
      <c r="P55" s="18">
        <f t="shared" si="13"/>
        <v>23458005.864</v>
      </c>
      <c r="Q55" s="1">
        <f>((O55-H55)/H55)*100</f>
        <v>0.64779015411013341</v>
      </c>
      <c r="V55">
        <f t="shared" si="14"/>
        <v>6.4779015411013342E-3</v>
      </c>
    </row>
    <row r="56" spans="1:23" ht="15.75" x14ac:dyDescent="0.25">
      <c r="A56" s="13" t="s">
        <v>63</v>
      </c>
      <c r="B56" s="22" t="s">
        <v>64</v>
      </c>
      <c r="C56" s="1" t="s">
        <v>151</v>
      </c>
      <c r="D56" s="18">
        <v>27701895.935999997</v>
      </c>
      <c r="E56" s="18">
        <v>27860853.456</v>
      </c>
      <c r="F56" s="18">
        <v>25524164.023999993</v>
      </c>
      <c r="G56" s="18">
        <v>26210528.944000002</v>
      </c>
      <c r="H56" s="18">
        <v>20598511.239999998</v>
      </c>
      <c r="I56" s="1">
        <v>26824360.59</v>
      </c>
      <c r="J56" s="1">
        <v>-23.209684082165857</v>
      </c>
      <c r="K56" s="1">
        <v>-11.902688056370025</v>
      </c>
      <c r="L56" s="1">
        <v>-11.306996025795833</v>
      </c>
      <c r="M56" s="32">
        <v>-11.963100000000001</v>
      </c>
      <c r="N56" s="1">
        <f t="shared" si="11"/>
        <v>-23.865788056370025</v>
      </c>
      <c r="O56" s="1">
        <f t="shared" si="12"/>
        <v>20422515.54411415</v>
      </c>
      <c r="P56" s="18">
        <f t="shared" si="13"/>
        <v>20598511.239999998</v>
      </c>
      <c r="Q56" s="1">
        <f>-((O56-H56)/H56)*100</f>
        <v>0.85440978639312704</v>
      </c>
      <c r="V56">
        <f t="shared" si="14"/>
        <v>-8.5440978639312708E-3</v>
      </c>
    </row>
    <row r="57" spans="1:23" ht="15.75" x14ac:dyDescent="0.25">
      <c r="A57" s="13" t="s">
        <v>31</v>
      </c>
      <c r="B57" s="23" t="s">
        <v>65</v>
      </c>
      <c r="C57" s="1" t="s">
        <v>152</v>
      </c>
      <c r="D57" s="18">
        <v>32850749.392000001</v>
      </c>
      <c r="E57" s="18">
        <v>26168015.472000003</v>
      </c>
      <c r="F57" s="18">
        <v>25505982.400000006</v>
      </c>
      <c r="G57" s="18">
        <v>30188564.856000021</v>
      </c>
      <c r="H57" s="18">
        <v>23319885.640000015</v>
      </c>
      <c r="I57" s="1">
        <v>28678328.030000009</v>
      </c>
      <c r="J57" s="1">
        <v>-18.684640137997583</v>
      </c>
      <c r="K57" s="1">
        <v>-2.7956006578741195</v>
      </c>
      <c r="L57" s="1">
        <v>-15.889039480123463</v>
      </c>
      <c r="M57" s="1">
        <v>-9.4200999999999997</v>
      </c>
      <c r="N57" s="1">
        <f t="shared" si="11"/>
        <v>-12.21570065787412</v>
      </c>
      <c r="O57" s="1">
        <f t="shared" si="12"/>
        <v>25175069.324171998</v>
      </c>
      <c r="P57" s="18">
        <f t="shared" si="13"/>
        <v>23319885.640000015</v>
      </c>
      <c r="Q57" s="1">
        <f>((O57-H57)/H57)*100</f>
        <v>7.955372135229652</v>
      </c>
      <c r="V57">
        <f t="shared" si="14"/>
        <v>7.9553721352296519E-2</v>
      </c>
    </row>
    <row r="58" spans="1:23" ht="15.75" x14ac:dyDescent="0.25">
      <c r="A58" s="7" t="s">
        <v>32</v>
      </c>
      <c r="B58" s="22"/>
      <c r="C58" s="1"/>
      <c r="D58" s="18"/>
      <c r="E58" s="18"/>
      <c r="F58" s="18"/>
      <c r="G58" s="18"/>
      <c r="H58" s="18"/>
      <c r="I58" s="1"/>
      <c r="J58" s="1"/>
      <c r="K58" s="1"/>
      <c r="L58" s="1"/>
      <c r="M58" s="1"/>
      <c r="N58" s="1"/>
      <c r="O58" s="1"/>
      <c r="P58" s="1" t="s">
        <v>96</v>
      </c>
      <c r="Q58" s="1">
        <f>SUM(Q44:Q57)/14</f>
        <v>2.1533435372700986</v>
      </c>
      <c r="R58" s="39" t="s">
        <v>198</v>
      </c>
      <c r="S58" s="39">
        <f>SQRT(SUMSQ(Q44:Q57)/COUNTA(Q44:Q57))</f>
        <v>3.0653799023453607</v>
      </c>
      <c r="T58" s="39" t="s">
        <v>199</v>
      </c>
      <c r="U58" s="39">
        <f>RSQ(O44:O57,P44:P57)</f>
        <v>0.87520630960317891</v>
      </c>
      <c r="V58" s="39" t="s">
        <v>200</v>
      </c>
      <c r="W58" s="39">
        <f t="array" ref="W58">AVERAGE(ABS(V44:V57))</f>
        <v>2.1533435372700978E-2</v>
      </c>
    </row>
    <row r="59" spans="1:23" ht="15.75" x14ac:dyDescent="0.25">
      <c r="A59" s="17"/>
      <c r="B59" s="17"/>
      <c r="C59" s="17"/>
      <c r="D59" s="35"/>
      <c r="E59" s="35"/>
      <c r="F59" s="35"/>
      <c r="G59" s="35"/>
      <c r="H59" s="35"/>
      <c r="I59" s="17"/>
      <c r="J59" s="17"/>
      <c r="K59" s="17"/>
      <c r="L59" s="17"/>
      <c r="M59" s="17"/>
      <c r="N59" s="17"/>
      <c r="O59" s="17"/>
      <c r="P59" s="17"/>
      <c r="Q59" s="17"/>
    </row>
    <row r="60" spans="1:23" ht="15.75" x14ac:dyDescent="0.25">
      <c r="A60" s="36" t="s">
        <v>168</v>
      </c>
      <c r="B60" s="17"/>
      <c r="C60" s="17"/>
      <c r="D60" s="35"/>
      <c r="E60" s="35"/>
      <c r="F60" s="35"/>
      <c r="G60" s="35"/>
      <c r="H60" s="35"/>
      <c r="I60" s="17"/>
      <c r="J60" s="17"/>
      <c r="K60" s="17"/>
      <c r="L60" s="17"/>
      <c r="M60" s="17"/>
      <c r="N60" s="17"/>
      <c r="O60" s="17"/>
      <c r="P60" s="17"/>
      <c r="Q60" s="17"/>
    </row>
    <row r="61" spans="1:23" ht="15.75" x14ac:dyDescent="0.25">
      <c r="A61" s="2" t="s">
        <v>0</v>
      </c>
      <c r="B61" s="2" t="s">
        <v>1</v>
      </c>
      <c r="C61" s="3" t="s">
        <v>9</v>
      </c>
      <c r="D61" s="53" t="s">
        <v>8</v>
      </c>
      <c r="E61" s="54"/>
      <c r="F61" s="54"/>
      <c r="G61" s="54"/>
      <c r="H61" s="54"/>
      <c r="I61" s="55" t="s">
        <v>59</v>
      </c>
      <c r="J61" s="55" t="s">
        <v>60</v>
      </c>
      <c r="K61" s="55" t="s">
        <v>62</v>
      </c>
      <c r="L61" s="55" t="s">
        <v>61</v>
      </c>
      <c r="M61" s="5" t="s">
        <v>10</v>
      </c>
      <c r="N61" s="4" t="s">
        <v>12</v>
      </c>
      <c r="O61" s="20" t="s">
        <v>13</v>
      </c>
      <c r="P61" s="6" t="s">
        <v>14</v>
      </c>
      <c r="Q61" s="5" t="s">
        <v>15</v>
      </c>
    </row>
    <row r="62" spans="1:23" ht="15.75" x14ac:dyDescent="0.25">
      <c r="A62" s="7"/>
      <c r="B62" s="7"/>
      <c r="C62" s="8" t="s">
        <v>2</v>
      </c>
      <c r="D62" s="9" t="s">
        <v>3</v>
      </c>
      <c r="E62" s="9" t="s">
        <v>4</v>
      </c>
      <c r="F62" s="9" t="s">
        <v>5</v>
      </c>
      <c r="G62" s="9" t="s">
        <v>6</v>
      </c>
      <c r="H62" s="9" t="s">
        <v>7</v>
      </c>
      <c r="I62" s="56"/>
      <c r="J62" s="56"/>
      <c r="K62" s="56"/>
      <c r="L62" s="56"/>
      <c r="M62" s="10" t="s">
        <v>11</v>
      </c>
      <c r="N62" s="11" t="s">
        <v>60</v>
      </c>
      <c r="O62" s="21" t="s">
        <v>166</v>
      </c>
      <c r="P62" s="12" t="s">
        <v>167</v>
      </c>
      <c r="Q62" s="10" t="s">
        <v>16</v>
      </c>
    </row>
    <row r="63" spans="1:23" ht="15.75" x14ac:dyDescent="0.25">
      <c r="A63" s="2" t="s">
        <v>17</v>
      </c>
      <c r="B63" s="1" t="s">
        <v>19</v>
      </c>
      <c r="C63" s="1" t="s">
        <v>140</v>
      </c>
      <c r="D63" s="18">
        <v>24649306.023999996</v>
      </c>
      <c r="E63" s="18">
        <v>26388463.711999997</v>
      </c>
      <c r="F63" s="18">
        <v>25474317.656000007</v>
      </c>
      <c r="G63" s="18">
        <v>25889710.648000002</v>
      </c>
      <c r="H63" s="18">
        <v>21383235.272000007</v>
      </c>
      <c r="I63" s="1">
        <v>25600449.510000002</v>
      </c>
      <c r="J63" s="1">
        <v>-16.473203864458213</v>
      </c>
      <c r="K63" s="1">
        <v>-5.1876095222967491</v>
      </c>
      <c r="L63" s="1">
        <v>-11.285594342161463</v>
      </c>
      <c r="M63" s="32">
        <v>-11.9595</v>
      </c>
      <c r="N63" s="1">
        <f>M63+K63</f>
        <v>-17.147109522296748</v>
      </c>
      <c r="O63" s="1">
        <f>I63+((N63*I63)/100)</f>
        <v>21210712.394320019</v>
      </c>
      <c r="P63" s="18">
        <f>H63</f>
        <v>21383235.272000007</v>
      </c>
      <c r="Q63" s="1">
        <f>-((O63-H63)/H63)*100</f>
        <v>0.8068137280699359</v>
      </c>
      <c r="V63">
        <f>(O63-P63)/P63</f>
        <v>-8.0681372806993591E-3</v>
      </c>
    </row>
    <row r="64" spans="1:23" ht="15.75" x14ac:dyDescent="0.25">
      <c r="A64" s="7" t="s">
        <v>18</v>
      </c>
      <c r="B64" s="1" t="s">
        <v>20</v>
      </c>
      <c r="C64" s="1" t="s">
        <v>141</v>
      </c>
      <c r="D64" s="18">
        <v>20767779.824000008</v>
      </c>
      <c r="E64" s="18">
        <v>29123880.240000013</v>
      </c>
      <c r="F64" s="18">
        <v>29726540.503999997</v>
      </c>
      <c r="G64" s="18">
        <v>29297503.66399999</v>
      </c>
      <c r="H64" s="18">
        <v>23369011.471999992</v>
      </c>
      <c r="I64" s="1">
        <v>27228926.058000002</v>
      </c>
      <c r="J64" s="1">
        <v>-14.175787094129433</v>
      </c>
      <c r="K64" s="1">
        <v>-4.9532392575701598</v>
      </c>
      <c r="L64" s="1">
        <v>-9.2225478365592721</v>
      </c>
      <c r="M64" s="32">
        <v>-10.3246</v>
      </c>
      <c r="N64" s="1">
        <f t="shared" ref="N64:N76" si="15">M64+K64</f>
        <v>-15.277839257570161</v>
      </c>
      <c r="O64" s="1">
        <f t="shared" ref="O64:O76" si="16">I64+((N64*I64)/100)</f>
        <v>23068934.503296126</v>
      </c>
      <c r="P64" s="18">
        <f t="shared" ref="P64:P76" si="17">H64</f>
        <v>23369011.471999992</v>
      </c>
      <c r="Q64" s="1">
        <f>-((O64-H64)/H64)*100</f>
        <v>1.2840807111734645</v>
      </c>
      <c r="V64">
        <f t="shared" ref="V64:V76" si="18">(O64-P64)/P64</f>
        <v>-1.2840807111734645E-2</v>
      </c>
    </row>
    <row r="65" spans="1:23" ht="15.75" x14ac:dyDescent="0.25">
      <c r="A65" s="2" t="s">
        <v>21</v>
      </c>
      <c r="B65" s="1" t="s">
        <v>23</v>
      </c>
      <c r="C65" s="1" t="s">
        <v>142</v>
      </c>
      <c r="D65" s="18">
        <v>22208042.696000002</v>
      </c>
      <c r="E65" s="18">
        <v>28933956.82399999</v>
      </c>
      <c r="F65" s="18">
        <v>29751614.272000015</v>
      </c>
      <c r="G65" s="18">
        <v>22312681.199999999</v>
      </c>
      <c r="H65" s="18">
        <v>20658324.559999991</v>
      </c>
      <c r="I65" s="1">
        <v>25801573.748000003</v>
      </c>
      <c r="J65" s="1">
        <v>-19.933858446904576</v>
      </c>
      <c r="K65" s="1">
        <v>-6.2290872305821283</v>
      </c>
      <c r="L65" s="1">
        <v>-13.704771216322449</v>
      </c>
      <c r="M65" s="1">
        <v>-13.65</v>
      </c>
      <c r="N65" s="1">
        <f t="shared" si="15"/>
        <v>-19.87908723058213</v>
      </c>
      <c r="O65" s="1">
        <f t="shared" si="16"/>
        <v>20672456.395772103</v>
      </c>
      <c r="P65" s="18">
        <f t="shared" si="17"/>
        <v>20658324.559999991</v>
      </c>
      <c r="Q65" s="1">
        <f>((O65-H65)/H65)*100</f>
        <v>6.8407463204808991E-2</v>
      </c>
      <c r="V65">
        <f t="shared" si="18"/>
        <v>6.8407463204808987E-4</v>
      </c>
    </row>
    <row r="66" spans="1:23" ht="15.75" x14ac:dyDescent="0.25">
      <c r="A66" s="13" t="s">
        <v>22</v>
      </c>
      <c r="B66" s="1" t="s">
        <v>82</v>
      </c>
      <c r="C66" s="1" t="s">
        <v>143</v>
      </c>
      <c r="D66" s="18">
        <v>27025283.271999992</v>
      </c>
      <c r="E66" s="18">
        <v>21083587.744000003</v>
      </c>
      <c r="F66" s="18">
        <v>28915431.056000009</v>
      </c>
      <c r="G66" s="18">
        <v>29089796.352000002</v>
      </c>
      <c r="H66" s="18">
        <v>23414288.264000002</v>
      </c>
      <c r="I66" s="1">
        <v>26528524.605999999</v>
      </c>
      <c r="J66" s="1">
        <v>-11.739199176179005</v>
      </c>
      <c r="K66" s="1">
        <v>-1.6861633723729623</v>
      </c>
      <c r="L66" s="1">
        <v>-10.053035803806043</v>
      </c>
      <c r="M66" s="31">
        <v>-7.8513999999999999</v>
      </c>
      <c r="N66" s="1">
        <f t="shared" si="15"/>
        <v>-9.5375633723729614</v>
      </c>
      <c r="O66" s="1">
        <f t="shared" si="16"/>
        <v>23998349.759947196</v>
      </c>
      <c r="P66" s="18">
        <f t="shared" si="17"/>
        <v>23414288.264000002</v>
      </c>
      <c r="Q66" s="1">
        <f>((O66-H66)/H66)*100</f>
        <v>2.4944661540073425</v>
      </c>
      <c r="V66">
        <f t="shared" si="18"/>
        <v>2.4944661540073423E-2</v>
      </c>
    </row>
    <row r="67" spans="1:23" ht="15.75" x14ac:dyDescent="0.25">
      <c r="A67" s="13"/>
      <c r="B67" s="1" t="s">
        <v>25</v>
      </c>
      <c r="C67" s="1" t="s">
        <v>144</v>
      </c>
      <c r="D67" s="18">
        <v>23272361.783999994</v>
      </c>
      <c r="E67" s="18">
        <v>30686317.911999989</v>
      </c>
      <c r="F67" s="18">
        <v>29710821.192000005</v>
      </c>
      <c r="G67" s="18">
        <v>29906453.991999999</v>
      </c>
      <c r="H67" s="18">
        <v>23798220.599999998</v>
      </c>
      <c r="I67" s="1">
        <v>28393988.719999995</v>
      </c>
      <c r="J67" s="1">
        <v>-16.18570805715245</v>
      </c>
      <c r="K67" s="1">
        <v>-4.518311150841698</v>
      </c>
      <c r="L67" s="1">
        <v>-11.667396906310753</v>
      </c>
      <c r="M67" s="1">
        <v>-9.2942</v>
      </c>
      <c r="N67" s="1">
        <f t="shared" si="15"/>
        <v>-13.812511150841697</v>
      </c>
      <c r="O67" s="1">
        <f t="shared" si="16"/>
        <v>24472065.861881264</v>
      </c>
      <c r="P67" s="18">
        <f t="shared" si="17"/>
        <v>23798220.599999998</v>
      </c>
      <c r="Q67" s="1">
        <f>((O67-H67)/H67)*100</f>
        <v>2.831494308785699</v>
      </c>
      <c r="V67">
        <f t="shared" si="18"/>
        <v>2.8314943087856991E-2</v>
      </c>
    </row>
    <row r="68" spans="1:23" ht="15.75" x14ac:dyDescent="0.25">
      <c r="A68" s="13"/>
      <c r="B68" s="1" t="s">
        <v>26</v>
      </c>
      <c r="C68" s="1" t="s">
        <v>145</v>
      </c>
      <c r="D68" s="18">
        <v>27210185.296000004</v>
      </c>
      <c r="E68" s="18">
        <v>27031164.551999997</v>
      </c>
      <c r="F68" s="18">
        <v>27719443.167999998</v>
      </c>
      <c r="G68" s="18">
        <v>27294018.752000004</v>
      </c>
      <c r="H68" s="18">
        <v>25703679.503999997</v>
      </c>
      <c r="I68" s="1">
        <v>27313702.942000002</v>
      </c>
      <c r="J68" s="1">
        <v>-5.894563038262703</v>
      </c>
      <c r="K68" s="1">
        <v>-2.1361635756669308</v>
      </c>
      <c r="L68" s="1">
        <v>-3.7583994625957722</v>
      </c>
      <c r="M68" s="1">
        <v>-9.15</v>
      </c>
      <c r="N68" s="1">
        <f t="shared" si="15"/>
        <v>-11.286163575666931</v>
      </c>
      <c r="O68" s="1">
        <f t="shared" si="16"/>
        <v>24231033.74939413</v>
      </c>
      <c r="P68" s="18">
        <f t="shared" si="17"/>
        <v>25703679.503999997</v>
      </c>
      <c r="Q68" s="1">
        <f>-((O68-H68)/H68)*100</f>
        <v>5.7293188485978996</v>
      </c>
      <c r="V68">
        <f t="shared" si="18"/>
        <v>-5.7293188485978995E-2</v>
      </c>
    </row>
    <row r="69" spans="1:23" ht="15.75" x14ac:dyDescent="0.25">
      <c r="A69" s="13"/>
      <c r="B69" s="1" t="s">
        <v>35</v>
      </c>
      <c r="C69" s="1" t="s">
        <v>146</v>
      </c>
      <c r="D69" s="18">
        <v>28152490.67200001</v>
      </c>
      <c r="E69" s="18">
        <v>24068160.223999988</v>
      </c>
      <c r="F69" s="18">
        <v>21402954.399999991</v>
      </c>
      <c r="G69" s="18">
        <v>19347440.591999996</v>
      </c>
      <c r="H69" s="18">
        <v>18556039.552000005</v>
      </c>
      <c r="I69" s="1">
        <v>23242761.471999995</v>
      </c>
      <c r="J69" s="1">
        <v>-20.164221560531754</v>
      </c>
      <c r="K69" s="1">
        <v>-4.5612356338052029</v>
      </c>
      <c r="L69" s="1">
        <v>-15.60298592672655</v>
      </c>
      <c r="M69" s="1">
        <v>-14.1996</v>
      </c>
      <c r="N69" s="1">
        <f t="shared" si="15"/>
        <v>-18.760835633805204</v>
      </c>
      <c r="O69" s="1">
        <f t="shared" si="16"/>
        <v>18882225.195480675</v>
      </c>
      <c r="P69" s="18">
        <f t="shared" si="17"/>
        <v>18556039.552000005</v>
      </c>
      <c r="Q69" s="1">
        <f>((O69-H69)/H69)*100</f>
        <v>1.7578408505036454</v>
      </c>
      <c r="V69">
        <f t="shared" si="18"/>
        <v>1.7578408505036454E-2</v>
      </c>
    </row>
    <row r="70" spans="1:23" ht="15.75" x14ac:dyDescent="0.25">
      <c r="A70" s="13"/>
      <c r="B70" s="1" t="s">
        <v>36</v>
      </c>
      <c r="C70" s="1" t="s">
        <v>147</v>
      </c>
      <c r="D70" s="18">
        <v>24068160.223999988</v>
      </c>
      <c r="E70" s="18">
        <v>21402954.399999991</v>
      </c>
      <c r="F70" s="18">
        <v>19347440.591999996</v>
      </c>
      <c r="G70" s="18">
        <v>18556039.552000005</v>
      </c>
      <c r="H70" s="18">
        <v>20061147.615999997</v>
      </c>
      <c r="I70" s="1">
        <v>20843648.691999994</v>
      </c>
      <c r="J70" s="1">
        <v>-3.7541463472291654</v>
      </c>
      <c r="K70" s="1">
        <v>-2.2169826982039371</v>
      </c>
      <c r="L70" s="1">
        <v>-1.5371636490252283</v>
      </c>
      <c r="M70" s="32">
        <v>-2.9209999999999998</v>
      </c>
      <c r="N70" s="1">
        <f t="shared" si="15"/>
        <v>-5.1379826982039365</v>
      </c>
      <c r="O70" s="1">
        <f t="shared" si="16"/>
        <v>19772705.628530622</v>
      </c>
      <c r="P70" s="18">
        <f t="shared" si="17"/>
        <v>20061147.615999997</v>
      </c>
      <c r="Q70" s="1">
        <f>-((O70-H70)/H70)*100</f>
        <v>1.4378139924523807</v>
      </c>
      <c r="V70">
        <f t="shared" si="18"/>
        <v>-1.4378139924523806E-2</v>
      </c>
    </row>
    <row r="71" spans="1:23" ht="15.75" x14ac:dyDescent="0.25">
      <c r="A71" s="2" t="s">
        <v>21</v>
      </c>
      <c r="B71" s="1" t="s">
        <v>56</v>
      </c>
      <c r="C71" s="1" t="s">
        <v>148</v>
      </c>
      <c r="D71" s="18">
        <v>26929203.224000007</v>
      </c>
      <c r="E71" s="18">
        <v>26205002.327999994</v>
      </c>
      <c r="F71" s="18">
        <v>27649232.464000002</v>
      </c>
      <c r="G71" s="18">
        <v>28487017.607999995</v>
      </c>
      <c r="H71" s="18">
        <v>22518592.687999986</v>
      </c>
      <c r="I71" s="1">
        <v>27317613.905999999</v>
      </c>
      <c r="J71" s="1">
        <v>-17.567497785544013</v>
      </c>
      <c r="K71" s="1">
        <v>-8.106170516711904</v>
      </c>
      <c r="L71" s="1">
        <v>-9.4613272688321093</v>
      </c>
      <c r="M71" s="32">
        <v>-8.9465000000000003</v>
      </c>
      <c r="N71" s="1">
        <f t="shared" si="15"/>
        <v>-17.052670516711906</v>
      </c>
      <c r="O71" s="1">
        <f t="shared" si="16"/>
        <v>22659231.213582344</v>
      </c>
      <c r="P71" s="18">
        <f t="shared" si="17"/>
        <v>22518592.687999986</v>
      </c>
      <c r="Q71" s="1">
        <f>((O71-H71)/H71)*100</f>
        <v>0.62454402693336875</v>
      </c>
      <c r="V71">
        <f t="shared" si="18"/>
        <v>6.2454402693336878E-3</v>
      </c>
    </row>
    <row r="72" spans="1:23" ht="15.75" x14ac:dyDescent="0.25">
      <c r="A72" s="13" t="s">
        <v>27</v>
      </c>
      <c r="B72" s="1" t="s">
        <v>57</v>
      </c>
      <c r="C72" s="1" t="s">
        <v>149</v>
      </c>
      <c r="D72" s="18">
        <v>23185442.671999995</v>
      </c>
      <c r="E72" s="18">
        <v>30488212.287999984</v>
      </c>
      <c r="F72" s="18">
        <v>31284871.175999995</v>
      </c>
      <c r="G72" s="18">
        <v>30880025.823999994</v>
      </c>
      <c r="H72" s="18">
        <v>25094944.103999987</v>
      </c>
      <c r="I72" s="1">
        <v>28959637.989999995</v>
      </c>
      <c r="J72" s="1">
        <v>-13.345104270068978</v>
      </c>
      <c r="K72" s="1">
        <v>-6.5666471610718533</v>
      </c>
      <c r="L72" s="1">
        <v>-6.7784571089971246</v>
      </c>
      <c r="M72" s="32">
        <v>-6.9466000000000001</v>
      </c>
      <c r="N72" s="1">
        <f t="shared" si="15"/>
        <v>-13.513247161071853</v>
      </c>
      <c r="O72" s="1">
        <f t="shared" si="16"/>
        <v>25046250.531459637</v>
      </c>
      <c r="P72" s="18">
        <f t="shared" si="17"/>
        <v>25094944.103999987</v>
      </c>
      <c r="Q72" s="1">
        <f>-((O72-H72)/H72)*100</f>
        <v>0.19403738194654432</v>
      </c>
      <c r="V72">
        <f t="shared" si="18"/>
        <v>-1.9403738194654432E-3</v>
      </c>
    </row>
    <row r="73" spans="1:23" ht="15.75" x14ac:dyDescent="0.25">
      <c r="A73" s="13"/>
      <c r="B73" s="1" t="s">
        <v>58</v>
      </c>
      <c r="C73" s="1" t="s">
        <v>133</v>
      </c>
      <c r="D73" s="18">
        <v>33735338.095999993</v>
      </c>
      <c r="E73" s="18">
        <v>32642074.944000002</v>
      </c>
      <c r="F73" s="18">
        <v>31107022.223999999</v>
      </c>
      <c r="G73" s="18">
        <v>22935017.631999999</v>
      </c>
      <c r="H73" s="18">
        <v>23465166.680000011</v>
      </c>
      <c r="I73" s="1">
        <v>30104863.223999999</v>
      </c>
      <c r="J73" s="1">
        <v>-22.055229065803342</v>
      </c>
      <c r="K73" s="1">
        <v>-8.7823477538703028</v>
      </c>
      <c r="L73" s="1">
        <v>-13.272881311933039</v>
      </c>
      <c r="M73" s="32">
        <v>-10.556800000000001</v>
      </c>
      <c r="N73" s="1">
        <f t="shared" si="15"/>
        <v>-19.339147753870304</v>
      </c>
      <c r="O73" s="1">
        <f t="shared" si="16"/>
        <v>24282839.244010076</v>
      </c>
      <c r="P73" s="18">
        <f t="shared" si="17"/>
        <v>23465166.680000011</v>
      </c>
      <c r="Q73" s="1">
        <f>((O73-H73)/H73)*100</f>
        <v>3.4846228674224133</v>
      </c>
      <c r="V73">
        <f t="shared" si="18"/>
        <v>3.4846228674224135E-2</v>
      </c>
    </row>
    <row r="74" spans="1:23" ht="15.75" x14ac:dyDescent="0.25">
      <c r="A74" s="2" t="s">
        <v>21</v>
      </c>
      <c r="B74" s="22" t="s">
        <v>30</v>
      </c>
      <c r="C74" s="1" t="s">
        <v>150</v>
      </c>
      <c r="D74" s="18">
        <v>26571839.079999998</v>
      </c>
      <c r="E74" s="18">
        <v>21378547.239999987</v>
      </c>
      <c r="F74" s="18">
        <v>28930032.399999987</v>
      </c>
      <c r="G74" s="18">
        <v>29008866.071999986</v>
      </c>
      <c r="H74" s="18">
        <v>23458005.864</v>
      </c>
      <c r="I74" s="1">
        <v>26472321.197999988</v>
      </c>
      <c r="J74" s="1">
        <v>-11.386668027538599</v>
      </c>
      <c r="K74" s="1">
        <v>-1.7419395877920738</v>
      </c>
      <c r="L74" s="1">
        <v>-9.644728439746526</v>
      </c>
      <c r="M74" s="32">
        <v>-9.0450999999999997</v>
      </c>
      <c r="N74" s="1">
        <f t="shared" si="15"/>
        <v>-10.787039587792073</v>
      </c>
      <c r="O74" s="1">
        <f t="shared" si="16"/>
        <v>23616741.430564255</v>
      </c>
      <c r="P74" s="18">
        <f t="shared" si="17"/>
        <v>23458005.864</v>
      </c>
      <c r="Q74" s="1">
        <f>((O74-H74)/H74)*100</f>
        <v>0.67667971218243728</v>
      </c>
      <c r="V74">
        <f t="shared" si="18"/>
        <v>6.7667971218243732E-3</v>
      </c>
    </row>
    <row r="75" spans="1:23" ht="15.75" x14ac:dyDescent="0.25">
      <c r="A75" s="13" t="s">
        <v>63</v>
      </c>
      <c r="B75" s="22" t="s">
        <v>64</v>
      </c>
      <c r="C75" s="1" t="s">
        <v>151</v>
      </c>
      <c r="D75" s="18">
        <v>27701895.935999997</v>
      </c>
      <c r="E75" s="18">
        <v>27860853.456</v>
      </c>
      <c r="F75" s="18">
        <v>25524164.023999993</v>
      </c>
      <c r="G75" s="18">
        <v>26210528.944000002</v>
      </c>
      <c r="H75" s="18">
        <v>20598511.239999998</v>
      </c>
      <c r="I75" s="1">
        <v>26824360.59</v>
      </c>
      <c r="J75" s="1">
        <v>-23.209684082165857</v>
      </c>
      <c r="K75" s="1">
        <v>-11.902688056370025</v>
      </c>
      <c r="L75" s="1">
        <v>-11.306996025795833</v>
      </c>
      <c r="M75" s="32">
        <v>-11.9604</v>
      </c>
      <c r="N75" s="1">
        <f t="shared" si="15"/>
        <v>-23.863088056370025</v>
      </c>
      <c r="O75" s="1">
        <f t="shared" si="16"/>
        <v>20423239.80185008</v>
      </c>
      <c r="P75" s="18">
        <f t="shared" si="17"/>
        <v>20598511.239999998</v>
      </c>
      <c r="Q75" s="1">
        <f>-((O75-H75)/H75)*100</f>
        <v>0.85089371803511904</v>
      </c>
      <c r="V75">
        <f t="shared" si="18"/>
        <v>-8.50893718035119E-3</v>
      </c>
    </row>
    <row r="76" spans="1:23" ht="15.75" x14ac:dyDescent="0.25">
      <c r="A76" s="13" t="s">
        <v>31</v>
      </c>
      <c r="B76" s="23" t="s">
        <v>65</v>
      </c>
      <c r="C76" s="1" t="s">
        <v>152</v>
      </c>
      <c r="D76" s="18">
        <v>32850749.392000001</v>
      </c>
      <c r="E76" s="18">
        <v>26168015.472000003</v>
      </c>
      <c r="F76" s="18">
        <v>25505982.400000006</v>
      </c>
      <c r="G76" s="18">
        <v>30188564.856000021</v>
      </c>
      <c r="H76" s="18">
        <v>23319885.640000015</v>
      </c>
      <c r="I76" s="1">
        <v>28678328.030000009</v>
      </c>
      <c r="J76" s="1">
        <v>-18.684640137997583</v>
      </c>
      <c r="K76" s="1">
        <v>-2.7956006578741195</v>
      </c>
      <c r="L76" s="1">
        <v>-15.889039480123463</v>
      </c>
      <c r="M76" s="1">
        <v>-9.4863</v>
      </c>
      <c r="N76" s="1">
        <f t="shared" si="15"/>
        <v>-12.28190065787412</v>
      </c>
      <c r="O76" s="1">
        <f t="shared" si="16"/>
        <v>25156084.27101614</v>
      </c>
      <c r="P76" s="18">
        <f t="shared" si="17"/>
        <v>23319885.640000015</v>
      </c>
      <c r="Q76" s="1">
        <f>((O76-H76)/H76)*100</f>
        <v>7.8739607018764213</v>
      </c>
      <c r="V76">
        <f t="shared" si="18"/>
        <v>7.8739607018764216E-2</v>
      </c>
    </row>
    <row r="77" spans="1:23" ht="15.75" x14ac:dyDescent="0.25">
      <c r="A77" s="7" t="s">
        <v>32</v>
      </c>
      <c r="B77" s="22"/>
      <c r="C77" s="1"/>
      <c r="D77" s="18"/>
      <c r="E77" s="18"/>
      <c r="F77" s="18"/>
      <c r="G77" s="18"/>
      <c r="H77" s="18"/>
      <c r="I77" s="1"/>
      <c r="J77" s="1"/>
      <c r="K77" s="1"/>
      <c r="L77" s="1"/>
      <c r="M77" s="1" t="s">
        <v>202</v>
      </c>
      <c r="N77" s="1"/>
      <c r="O77" s="1"/>
      <c r="P77" s="1" t="s">
        <v>96</v>
      </c>
      <c r="Q77" s="1">
        <f>SUM(Q63:Q76)/14</f>
        <v>2.1510696046565343</v>
      </c>
      <c r="R77" s="39" t="s">
        <v>198</v>
      </c>
      <c r="S77" s="39">
        <f>SQRT(SUMSQ(Q63:Q76)/COUNTA(Q63:Q76))</f>
        <v>3.0505045908551347</v>
      </c>
      <c r="T77" s="39" t="s">
        <v>199</v>
      </c>
      <c r="U77" s="39">
        <f>RSQ(O63:O76,P63:P76)</f>
        <v>0.87611304643145627</v>
      </c>
      <c r="V77" s="39" t="s">
        <v>200</v>
      </c>
      <c r="W77" s="39">
        <f t="array" ref="W77">AVERAGE(ABS(V63:V76))</f>
        <v>2.1510696046565341E-2</v>
      </c>
    </row>
    <row r="79" spans="1:23" ht="15.75" x14ac:dyDescent="0.25">
      <c r="A79" s="36" t="s">
        <v>253</v>
      </c>
      <c r="B79" s="17"/>
      <c r="C79" s="17"/>
      <c r="D79" s="35"/>
      <c r="E79" s="35"/>
      <c r="F79" s="35"/>
      <c r="G79" s="35"/>
      <c r="H79" s="35"/>
      <c r="I79" s="17"/>
      <c r="J79" s="17"/>
      <c r="K79" s="17"/>
      <c r="L79" s="17"/>
      <c r="M79" s="17"/>
      <c r="N79" s="17"/>
      <c r="O79" s="17"/>
      <c r="P79" s="17"/>
      <c r="Q79" s="17"/>
    </row>
    <row r="80" spans="1:23" ht="15.75" x14ac:dyDescent="0.25">
      <c r="A80" s="2" t="s">
        <v>0</v>
      </c>
      <c r="B80" s="2" t="s">
        <v>1</v>
      </c>
      <c r="C80" s="3" t="s">
        <v>9</v>
      </c>
      <c r="D80" s="53" t="s">
        <v>8</v>
      </c>
      <c r="E80" s="54"/>
      <c r="F80" s="54"/>
      <c r="G80" s="54"/>
      <c r="H80" s="54"/>
      <c r="I80" s="55" t="s">
        <v>59</v>
      </c>
      <c r="J80" s="55" t="s">
        <v>60</v>
      </c>
      <c r="K80" s="55" t="s">
        <v>62</v>
      </c>
      <c r="L80" s="55" t="s">
        <v>61</v>
      </c>
      <c r="M80" s="5" t="s">
        <v>10</v>
      </c>
      <c r="N80" s="4" t="s">
        <v>12</v>
      </c>
      <c r="O80" s="20" t="s">
        <v>13</v>
      </c>
      <c r="P80" s="6" t="s">
        <v>14</v>
      </c>
      <c r="Q80" s="5" t="s">
        <v>15</v>
      </c>
    </row>
    <row r="81" spans="1:23" ht="15.75" x14ac:dyDescent="0.25">
      <c r="A81" s="7"/>
      <c r="B81" s="7"/>
      <c r="C81" s="8" t="s">
        <v>2</v>
      </c>
      <c r="D81" s="9" t="s">
        <v>3</v>
      </c>
      <c r="E81" s="9" t="s">
        <v>4</v>
      </c>
      <c r="F81" s="9" t="s">
        <v>5</v>
      </c>
      <c r="G81" s="9" t="s">
        <v>6</v>
      </c>
      <c r="H81" s="9" t="s">
        <v>7</v>
      </c>
      <c r="I81" s="56"/>
      <c r="J81" s="56"/>
      <c r="K81" s="56"/>
      <c r="L81" s="56"/>
      <c r="M81" s="10" t="s">
        <v>11</v>
      </c>
      <c r="N81" s="11" t="s">
        <v>60</v>
      </c>
      <c r="O81" s="21" t="s">
        <v>166</v>
      </c>
      <c r="P81" s="12" t="s">
        <v>167</v>
      </c>
      <c r="Q81" s="10" t="s">
        <v>16</v>
      </c>
    </row>
    <row r="82" spans="1:23" ht="15.75" x14ac:dyDescent="0.25">
      <c r="A82" s="2" t="s">
        <v>17</v>
      </c>
      <c r="B82" s="1" t="s">
        <v>19</v>
      </c>
      <c r="C82" s="1" t="s">
        <v>140</v>
      </c>
      <c r="D82" s="18">
        <v>24649306.023999996</v>
      </c>
      <c r="E82" s="18">
        <v>26388463.711999997</v>
      </c>
      <c r="F82" s="18">
        <v>25474317.656000007</v>
      </c>
      <c r="G82" s="18">
        <v>25889710.648000002</v>
      </c>
      <c r="H82" s="18">
        <v>21383235.272000007</v>
      </c>
      <c r="I82" s="1">
        <v>25600449.510000002</v>
      </c>
      <c r="J82" s="1">
        <v>-16.473203864458213</v>
      </c>
      <c r="K82" s="1">
        <v>-5.1876095222967491</v>
      </c>
      <c r="L82" s="1">
        <v>-11.285594342161463</v>
      </c>
      <c r="M82" s="32">
        <v>-11.983700000000001</v>
      </c>
      <c r="N82" s="1">
        <f>M82+K82</f>
        <v>-17.171309522296749</v>
      </c>
      <c r="O82" s="1">
        <f>I82+((N82*I82)/100)</f>
        <v>21204517.0855386</v>
      </c>
      <c r="P82" s="18">
        <f>H82</f>
        <v>21383235.272000007</v>
      </c>
      <c r="Q82" s="1">
        <f>-((O82-H82)/H82)*100</f>
        <v>0.835786466304413</v>
      </c>
      <c r="V82">
        <f>(O82-P82)/P82</f>
        <v>-8.3578646630441296E-3</v>
      </c>
    </row>
    <row r="83" spans="1:23" ht="15.75" x14ac:dyDescent="0.25">
      <c r="A83" s="7" t="s">
        <v>18</v>
      </c>
      <c r="B83" s="1" t="s">
        <v>20</v>
      </c>
      <c r="C83" s="1" t="s">
        <v>141</v>
      </c>
      <c r="D83" s="18">
        <v>20767779.824000008</v>
      </c>
      <c r="E83" s="18">
        <v>29123880.240000013</v>
      </c>
      <c r="F83" s="18">
        <v>29726540.503999997</v>
      </c>
      <c r="G83" s="18">
        <v>29297503.66399999</v>
      </c>
      <c r="H83" s="18">
        <v>23369011.471999992</v>
      </c>
      <c r="I83" s="1">
        <v>27228926.058000002</v>
      </c>
      <c r="J83" s="1">
        <v>-14.175787094129433</v>
      </c>
      <c r="K83" s="1">
        <v>-4.9532392575701598</v>
      </c>
      <c r="L83" s="1">
        <v>-9.2225478365592721</v>
      </c>
      <c r="M83" s="32">
        <v>-10.2675</v>
      </c>
      <c r="N83" s="1">
        <f t="shared" ref="N83:N95" si="19">M83+K83</f>
        <v>-15.220739257570159</v>
      </c>
      <c r="O83" s="1">
        <f t="shared" ref="O83:O95" si="20">I83+((N83*I83)/100)</f>
        <v>23084482.220075246</v>
      </c>
      <c r="P83" s="18">
        <f t="shared" ref="P83:P95" si="21">H83</f>
        <v>23369011.471999992</v>
      </c>
      <c r="Q83" s="1">
        <f>-((O83-H83)/H83)*100</f>
        <v>1.2175493698809625</v>
      </c>
      <c r="V83">
        <f t="shared" ref="V83:V95" si="22">(O83-P83)/P83</f>
        <v>-1.2175493698809626E-2</v>
      </c>
    </row>
    <row r="84" spans="1:23" ht="15.75" x14ac:dyDescent="0.25">
      <c r="A84" s="2" t="s">
        <v>21</v>
      </c>
      <c r="B84" s="1" t="s">
        <v>23</v>
      </c>
      <c r="C84" s="1" t="s">
        <v>142</v>
      </c>
      <c r="D84" s="18">
        <v>22208042.696000002</v>
      </c>
      <c r="E84" s="18">
        <v>28933956.82399999</v>
      </c>
      <c r="F84" s="18">
        <v>29751614.272000015</v>
      </c>
      <c r="G84" s="18">
        <v>22312681.199999999</v>
      </c>
      <c r="H84" s="18">
        <v>20658324.559999991</v>
      </c>
      <c r="I84" s="1">
        <v>25801573.748000003</v>
      </c>
      <c r="J84" s="1">
        <v>-19.933858446904576</v>
      </c>
      <c r="K84" s="1">
        <v>-6.2290872305821283</v>
      </c>
      <c r="L84" s="1">
        <v>-13.704771216322449</v>
      </c>
      <c r="M84" s="1">
        <v>-13.65</v>
      </c>
      <c r="N84" s="1">
        <f t="shared" si="19"/>
        <v>-19.87908723058213</v>
      </c>
      <c r="O84" s="1">
        <f t="shared" si="20"/>
        <v>20672456.395772103</v>
      </c>
      <c r="P84" s="18">
        <f t="shared" si="21"/>
        <v>20658324.559999991</v>
      </c>
      <c r="Q84" s="1">
        <f>((O84-H84)/H84)*100</f>
        <v>6.8407463204808991E-2</v>
      </c>
      <c r="V84">
        <f t="shared" si="22"/>
        <v>6.8407463204808987E-4</v>
      </c>
    </row>
    <row r="85" spans="1:23" ht="15.75" x14ac:dyDescent="0.25">
      <c r="A85" s="13" t="s">
        <v>22</v>
      </c>
      <c r="B85" s="1" t="s">
        <v>82</v>
      </c>
      <c r="C85" s="1" t="s">
        <v>143</v>
      </c>
      <c r="D85" s="18">
        <v>27025283.271999992</v>
      </c>
      <c r="E85" s="18">
        <v>21083587.744000003</v>
      </c>
      <c r="F85" s="18">
        <v>28915431.056000009</v>
      </c>
      <c r="G85" s="18">
        <v>29089796.352000002</v>
      </c>
      <c r="H85" s="18">
        <v>23414288.264000002</v>
      </c>
      <c r="I85" s="1">
        <v>26528524.605999999</v>
      </c>
      <c r="J85" s="1">
        <v>-11.739199176179005</v>
      </c>
      <c r="K85" s="1">
        <v>-1.6861633723729623</v>
      </c>
      <c r="L85" s="1">
        <v>-10.053035803806043</v>
      </c>
      <c r="M85" s="31">
        <v>-7.8532999999999999</v>
      </c>
      <c r="N85" s="1">
        <f t="shared" si="19"/>
        <v>-9.5394633723729623</v>
      </c>
      <c r="O85" s="1">
        <f t="shared" si="20"/>
        <v>23997845.717979681</v>
      </c>
      <c r="P85" s="18">
        <f t="shared" si="21"/>
        <v>23414288.264000002</v>
      </c>
      <c r="Q85" s="1">
        <f>((O85-H85)/H85)*100</f>
        <v>2.4923134429711076</v>
      </c>
      <c r="V85">
        <f t="shared" si="22"/>
        <v>2.4923134429711075E-2</v>
      </c>
    </row>
    <row r="86" spans="1:23" ht="15.75" x14ac:dyDescent="0.25">
      <c r="A86" s="13"/>
      <c r="B86" s="1" t="s">
        <v>25</v>
      </c>
      <c r="C86" s="1" t="s">
        <v>144</v>
      </c>
      <c r="D86" s="18">
        <v>23272361.783999994</v>
      </c>
      <c r="E86" s="18">
        <v>30686317.911999989</v>
      </c>
      <c r="F86" s="18">
        <v>29710821.192000005</v>
      </c>
      <c r="G86" s="18">
        <v>29906453.991999999</v>
      </c>
      <c r="H86" s="18">
        <v>23798220.599999998</v>
      </c>
      <c r="I86" s="1">
        <v>28393988.719999995</v>
      </c>
      <c r="J86" s="1">
        <v>-16.18570805715245</v>
      </c>
      <c r="K86" s="1">
        <v>-4.518311150841698</v>
      </c>
      <c r="L86" s="1">
        <v>-11.667396906310753</v>
      </c>
      <c r="M86" s="1">
        <v>-9.3543000000000003</v>
      </c>
      <c r="N86" s="1">
        <f t="shared" si="19"/>
        <v>-13.872611150841699</v>
      </c>
      <c r="O86" s="1">
        <f t="shared" si="20"/>
        <v>24455001.07466054</v>
      </c>
      <c r="P86" s="18">
        <f t="shared" si="21"/>
        <v>23798220.599999998</v>
      </c>
      <c r="Q86" s="1">
        <f>((O86-H86)/H86)*100</f>
        <v>2.7597881610549568</v>
      </c>
      <c r="V86">
        <f t="shared" si="22"/>
        <v>2.759788161054957E-2</v>
      </c>
    </row>
    <row r="87" spans="1:23" ht="15.75" x14ac:dyDescent="0.25">
      <c r="A87" s="13"/>
      <c r="B87" s="1" t="s">
        <v>26</v>
      </c>
      <c r="C87" s="1" t="s">
        <v>145</v>
      </c>
      <c r="D87" s="18">
        <v>27210185.296000004</v>
      </c>
      <c r="E87" s="18">
        <v>27031164.551999997</v>
      </c>
      <c r="F87" s="18">
        <v>27719443.167999998</v>
      </c>
      <c r="G87" s="18">
        <v>27294018.752000004</v>
      </c>
      <c r="H87" s="18">
        <v>25703679.503999997</v>
      </c>
      <c r="I87" s="1">
        <v>27313702.942000002</v>
      </c>
      <c r="J87" s="1">
        <v>-5.894563038262703</v>
      </c>
      <c r="K87" s="1">
        <v>-2.1361635756669308</v>
      </c>
      <c r="L87" s="1">
        <v>-3.7583994625957722</v>
      </c>
      <c r="M87" s="1">
        <v>-9.15</v>
      </c>
      <c r="N87" s="1">
        <f t="shared" si="19"/>
        <v>-11.286163575666931</v>
      </c>
      <c r="O87" s="1">
        <f t="shared" si="20"/>
        <v>24231033.74939413</v>
      </c>
      <c r="P87" s="18">
        <f t="shared" si="21"/>
        <v>25703679.503999997</v>
      </c>
      <c r="Q87" s="1">
        <f>-((O87-H87)/H87)*100</f>
        <v>5.7293188485978996</v>
      </c>
      <c r="V87">
        <f t="shared" si="22"/>
        <v>-5.7293188485978995E-2</v>
      </c>
    </row>
    <row r="88" spans="1:23" ht="15.75" x14ac:dyDescent="0.25">
      <c r="A88" s="13"/>
      <c r="B88" s="1" t="s">
        <v>35</v>
      </c>
      <c r="C88" s="1" t="s">
        <v>146</v>
      </c>
      <c r="D88" s="18">
        <v>28152490.67200001</v>
      </c>
      <c r="E88" s="18">
        <v>24068160.223999988</v>
      </c>
      <c r="F88" s="18">
        <v>21402954.399999991</v>
      </c>
      <c r="G88" s="18">
        <v>19347440.591999996</v>
      </c>
      <c r="H88" s="18">
        <v>18556039.552000005</v>
      </c>
      <c r="I88" s="1">
        <v>23242761.471999995</v>
      </c>
      <c r="J88" s="1">
        <v>-20.164221560531754</v>
      </c>
      <c r="K88" s="1">
        <v>-4.5612356338052029</v>
      </c>
      <c r="L88" s="1">
        <v>-15.60298592672655</v>
      </c>
      <c r="M88" s="1">
        <v>-14.241300000000001</v>
      </c>
      <c r="N88" s="1">
        <f t="shared" si="19"/>
        <v>-18.802535633805203</v>
      </c>
      <c r="O88" s="1">
        <f t="shared" si="20"/>
        <v>18872532.963946849</v>
      </c>
      <c r="P88" s="18">
        <f t="shared" si="21"/>
        <v>18556039.552000005</v>
      </c>
      <c r="Q88" s="1">
        <f>((O88-H88)/H88)*100</f>
        <v>1.7056086297936999</v>
      </c>
      <c r="V88">
        <f t="shared" si="22"/>
        <v>1.7056086297937E-2</v>
      </c>
    </row>
    <row r="89" spans="1:23" ht="15.75" x14ac:dyDescent="0.25">
      <c r="A89" s="13"/>
      <c r="B89" s="1" t="s">
        <v>36</v>
      </c>
      <c r="C89" s="1" t="s">
        <v>147</v>
      </c>
      <c r="D89" s="18">
        <v>24068160.223999988</v>
      </c>
      <c r="E89" s="18">
        <v>21402954.399999991</v>
      </c>
      <c r="F89" s="18">
        <v>19347440.591999996</v>
      </c>
      <c r="G89" s="18">
        <v>18556039.552000005</v>
      </c>
      <c r="H89" s="18">
        <v>20061147.615999997</v>
      </c>
      <c r="I89" s="1">
        <v>20843648.691999994</v>
      </c>
      <c r="J89" s="1">
        <v>-3.7541463472291654</v>
      </c>
      <c r="K89" s="1">
        <v>-2.2169826982039371</v>
      </c>
      <c r="L89" s="1">
        <v>-1.5371636490252283</v>
      </c>
      <c r="M89" s="32">
        <v>-2.9607999999999999</v>
      </c>
      <c r="N89" s="1">
        <f t="shared" si="19"/>
        <v>-5.177782698203937</v>
      </c>
      <c r="O89" s="1">
        <f t="shared" si="20"/>
        <v>19764409.856351208</v>
      </c>
      <c r="P89" s="18">
        <f t="shared" si="21"/>
        <v>20061147.615999997</v>
      </c>
      <c r="Q89" s="1">
        <f>-((O89-H89)/H89)*100</f>
        <v>1.4791664232215815</v>
      </c>
      <c r="V89">
        <f t="shared" si="22"/>
        <v>-1.4791664232215816E-2</v>
      </c>
    </row>
    <row r="90" spans="1:23" ht="15.75" x14ac:dyDescent="0.25">
      <c r="A90" s="2" t="s">
        <v>21</v>
      </c>
      <c r="B90" s="1" t="s">
        <v>56</v>
      </c>
      <c r="C90" s="1" t="s">
        <v>148</v>
      </c>
      <c r="D90" s="18">
        <v>26929203.224000007</v>
      </c>
      <c r="E90" s="18">
        <v>26205002.327999994</v>
      </c>
      <c r="F90" s="18">
        <v>27649232.464000002</v>
      </c>
      <c r="G90" s="18">
        <v>28487017.607999995</v>
      </c>
      <c r="H90" s="18">
        <v>22518592.687999986</v>
      </c>
      <c r="I90" s="1">
        <v>27317613.905999999</v>
      </c>
      <c r="J90" s="1">
        <v>-17.567497785544013</v>
      </c>
      <c r="K90" s="1">
        <v>-8.106170516711904</v>
      </c>
      <c r="L90" s="1">
        <v>-9.4613272688321093</v>
      </c>
      <c r="M90" s="32">
        <v>-8.9596999999999998</v>
      </c>
      <c r="N90" s="1">
        <f t="shared" si="19"/>
        <v>-17.065870516711904</v>
      </c>
      <c r="O90" s="1">
        <f t="shared" si="20"/>
        <v>22655625.288546756</v>
      </c>
      <c r="P90" s="18">
        <f t="shared" si="21"/>
        <v>22518592.687999986</v>
      </c>
      <c r="Q90" s="1">
        <f>((O90-H90)/H90)*100</f>
        <v>0.60853092573495315</v>
      </c>
      <c r="V90">
        <f t="shared" si="22"/>
        <v>6.085309257349532E-3</v>
      </c>
    </row>
    <row r="91" spans="1:23" ht="15.75" x14ac:dyDescent="0.25">
      <c r="A91" s="13" t="s">
        <v>27</v>
      </c>
      <c r="B91" s="1" t="s">
        <v>57</v>
      </c>
      <c r="C91" s="1" t="s">
        <v>149</v>
      </c>
      <c r="D91" s="18">
        <v>23185442.671999995</v>
      </c>
      <c r="E91" s="18">
        <v>30488212.287999984</v>
      </c>
      <c r="F91" s="18">
        <v>31284871.175999995</v>
      </c>
      <c r="G91" s="18">
        <v>30880025.823999994</v>
      </c>
      <c r="H91" s="18">
        <v>25094944.103999987</v>
      </c>
      <c r="I91" s="1">
        <v>28959637.989999995</v>
      </c>
      <c r="J91" s="1">
        <v>-13.345104270068978</v>
      </c>
      <c r="K91" s="1">
        <v>-6.5666471610718533</v>
      </c>
      <c r="L91" s="1">
        <v>-6.7784571089971246</v>
      </c>
      <c r="M91" s="32">
        <v>-6.9622999999999999</v>
      </c>
      <c r="N91" s="1">
        <f t="shared" si="19"/>
        <v>-13.528947161071853</v>
      </c>
      <c r="O91" s="1">
        <f t="shared" si="20"/>
        <v>25041703.868295204</v>
      </c>
      <c r="P91" s="18">
        <f t="shared" si="21"/>
        <v>25094944.103999987</v>
      </c>
      <c r="Q91" s="1">
        <f>-((O91-H91)/H91)*100</f>
        <v>0.21215522730053488</v>
      </c>
      <c r="V91">
        <f t="shared" si="22"/>
        <v>-2.1215522730053489E-3</v>
      </c>
    </row>
    <row r="92" spans="1:23" ht="15.75" x14ac:dyDescent="0.25">
      <c r="A92" s="13"/>
      <c r="B92" s="1" t="s">
        <v>58</v>
      </c>
      <c r="C92" s="1" t="s">
        <v>133</v>
      </c>
      <c r="D92" s="18">
        <v>33735338.095999993</v>
      </c>
      <c r="E92" s="18">
        <v>32642074.944000002</v>
      </c>
      <c r="F92" s="18">
        <v>31107022.223999999</v>
      </c>
      <c r="G92" s="18">
        <v>22935017.631999999</v>
      </c>
      <c r="H92" s="18">
        <v>23465166.680000011</v>
      </c>
      <c r="I92" s="1">
        <v>30104863.223999999</v>
      </c>
      <c r="J92" s="1">
        <v>-22.055229065803342</v>
      </c>
      <c r="K92" s="1">
        <v>-8.7823477538703028</v>
      </c>
      <c r="L92" s="1">
        <v>-13.272881311933039</v>
      </c>
      <c r="M92" s="32">
        <v>-10.591699999999999</v>
      </c>
      <c r="N92" s="1">
        <f t="shared" si="19"/>
        <v>-19.3740477538703</v>
      </c>
      <c r="O92" s="1">
        <f t="shared" si="20"/>
        <v>24272332.646744903</v>
      </c>
      <c r="P92" s="18">
        <f t="shared" si="21"/>
        <v>23465166.680000011</v>
      </c>
      <c r="Q92" s="1">
        <f>((O92-H92)/H92)*100</f>
        <v>3.4398475738630121</v>
      </c>
      <c r="V92">
        <f t="shared" si="22"/>
        <v>3.439847573863012E-2</v>
      </c>
    </row>
    <row r="93" spans="1:23" ht="15.75" x14ac:dyDescent="0.25">
      <c r="A93" s="2" t="s">
        <v>21</v>
      </c>
      <c r="B93" s="22" t="s">
        <v>30</v>
      </c>
      <c r="C93" s="1" t="s">
        <v>150</v>
      </c>
      <c r="D93" s="18">
        <v>26571839.079999998</v>
      </c>
      <c r="E93" s="18">
        <v>21378547.239999987</v>
      </c>
      <c r="F93" s="18">
        <v>28930032.399999987</v>
      </c>
      <c r="G93" s="18">
        <v>29008866.071999986</v>
      </c>
      <c r="H93" s="18">
        <v>23458005.864</v>
      </c>
      <c r="I93" s="1">
        <v>26472321.197999988</v>
      </c>
      <c r="J93" s="1">
        <v>-11.386668027538599</v>
      </c>
      <c r="K93" s="1">
        <v>-1.7419395877920738</v>
      </c>
      <c r="L93" s="1">
        <v>-9.644728439746526</v>
      </c>
      <c r="M93" s="32">
        <v>-9.0708000000000002</v>
      </c>
      <c r="N93" s="1">
        <f t="shared" si="19"/>
        <v>-10.812739587792073</v>
      </c>
      <c r="O93" s="1">
        <f t="shared" si="20"/>
        <v>23609938.044016369</v>
      </c>
      <c r="P93" s="18">
        <f t="shared" si="21"/>
        <v>23458005.864</v>
      </c>
      <c r="Q93" s="1">
        <f>((O93-H93)/H93)*100</f>
        <v>0.64767730427390013</v>
      </c>
      <c r="V93">
        <f t="shared" si="22"/>
        <v>6.4767730427390015E-3</v>
      </c>
    </row>
    <row r="94" spans="1:23" ht="15.75" x14ac:dyDescent="0.25">
      <c r="A94" s="13" t="s">
        <v>63</v>
      </c>
      <c r="B94" s="22" t="s">
        <v>64</v>
      </c>
      <c r="C94" s="1" t="s">
        <v>151</v>
      </c>
      <c r="D94" s="18">
        <v>27701895.935999997</v>
      </c>
      <c r="E94" s="18">
        <v>27860853.456</v>
      </c>
      <c r="F94" s="18">
        <v>25524164.023999993</v>
      </c>
      <c r="G94" s="18">
        <v>26210528.944000002</v>
      </c>
      <c r="H94" s="18">
        <v>20598511.239999998</v>
      </c>
      <c r="I94" s="1">
        <v>26824360.59</v>
      </c>
      <c r="J94" s="1">
        <v>-23.209684082165857</v>
      </c>
      <c r="K94" s="1">
        <v>-11.902688056370025</v>
      </c>
      <c r="L94" s="1">
        <v>-11.306996025795833</v>
      </c>
      <c r="M94" s="32">
        <v>-11.984400000000001</v>
      </c>
      <c r="N94" s="1">
        <f t="shared" si="19"/>
        <v>-23.887088056370025</v>
      </c>
      <c r="O94" s="1">
        <f t="shared" si="20"/>
        <v>20416801.955308482</v>
      </c>
      <c r="P94" s="18">
        <f t="shared" si="21"/>
        <v>20598511.239999998</v>
      </c>
      <c r="Q94" s="1">
        <f>-((O94-H94)/H94)*100</f>
        <v>0.88214765899516689</v>
      </c>
      <c r="V94">
        <f t="shared" si="22"/>
        <v>-8.8214765899516691E-3</v>
      </c>
    </row>
    <row r="95" spans="1:23" ht="15.75" x14ac:dyDescent="0.25">
      <c r="A95" s="13" t="s">
        <v>31</v>
      </c>
      <c r="B95" s="23" t="s">
        <v>65</v>
      </c>
      <c r="C95" s="1" t="s">
        <v>152</v>
      </c>
      <c r="D95" s="18">
        <v>32850749.392000001</v>
      </c>
      <c r="E95" s="18">
        <v>26168015.472000003</v>
      </c>
      <c r="F95" s="18">
        <v>25505982.400000006</v>
      </c>
      <c r="G95" s="18">
        <v>30188564.856000021</v>
      </c>
      <c r="H95" s="18">
        <v>23319885.640000015</v>
      </c>
      <c r="I95" s="1">
        <v>28678328.030000009</v>
      </c>
      <c r="J95" s="1">
        <v>-18.684640137997583</v>
      </c>
      <c r="K95" s="1">
        <v>-2.7956006578741195</v>
      </c>
      <c r="L95" s="1">
        <v>-15.889039480123463</v>
      </c>
      <c r="M95" s="1">
        <v>-9.4122000000000003</v>
      </c>
      <c r="N95" s="1">
        <f t="shared" si="19"/>
        <v>-12.20780065787412</v>
      </c>
      <c r="O95" s="1">
        <f t="shared" si="20"/>
        <v>25177334.912086368</v>
      </c>
      <c r="P95" s="18">
        <f t="shared" si="21"/>
        <v>23319885.640000015</v>
      </c>
      <c r="Q95" s="1">
        <f>((O95-H95)/H95)*100</f>
        <v>7.9650873969137992</v>
      </c>
      <c r="V95">
        <f t="shared" si="22"/>
        <v>7.9650873969137989E-2</v>
      </c>
    </row>
    <row r="96" spans="1:23" ht="15.75" x14ac:dyDescent="0.25">
      <c r="A96" s="7" t="s">
        <v>32</v>
      </c>
      <c r="B96" s="22"/>
      <c r="C96" s="1"/>
      <c r="D96" s="18"/>
      <c r="E96" s="18"/>
      <c r="F96" s="18"/>
      <c r="G96" s="18"/>
      <c r="H96" s="18"/>
      <c r="I96" s="1"/>
      <c r="J96" s="1"/>
      <c r="K96" s="1"/>
      <c r="L96" s="1"/>
      <c r="M96" s="1"/>
      <c r="N96" s="1"/>
      <c r="O96" s="1"/>
      <c r="P96" s="1" t="s">
        <v>96</v>
      </c>
      <c r="Q96" s="1">
        <f>SUM(Q82:Q95)/14</f>
        <v>2.1459560637221995</v>
      </c>
      <c r="R96" s="39" t="s">
        <v>198</v>
      </c>
      <c r="S96" s="39">
        <f>SQRT(SUMSQ(Q82:Q95)/COUNTA(Q82:Q95))</f>
        <v>3.0568890502259474</v>
      </c>
      <c r="T96" s="39" t="s">
        <v>199</v>
      </c>
      <c r="U96" s="39">
        <f>RSQ(O82:O95,P82:P95)</f>
        <v>0.87569292359101492</v>
      </c>
      <c r="V96" s="39" t="s">
        <v>200</v>
      </c>
      <c r="W96" s="39">
        <f t="array" ref="W96">AVERAGE(ABS(V82:V95))</f>
        <v>2.1459560637221996E-2</v>
      </c>
    </row>
    <row r="98" spans="1:22" ht="15.75" x14ac:dyDescent="0.25">
      <c r="A98" s="17"/>
      <c r="B98" s="17"/>
      <c r="C98" s="17"/>
      <c r="D98" s="35"/>
      <c r="E98" s="35"/>
      <c r="F98" s="35"/>
      <c r="G98" s="35"/>
      <c r="H98" s="35"/>
      <c r="I98" s="17"/>
      <c r="J98" s="17"/>
      <c r="K98" s="17"/>
      <c r="L98" s="17"/>
      <c r="M98" s="17"/>
      <c r="N98" s="17"/>
      <c r="O98" s="17"/>
      <c r="P98" s="17"/>
      <c r="Q98" s="17"/>
    </row>
    <row r="99" spans="1:22" ht="15.75" x14ac:dyDescent="0.25">
      <c r="A99" s="36" t="s">
        <v>194</v>
      </c>
      <c r="B99" s="17"/>
      <c r="C99" s="17"/>
      <c r="D99" s="35"/>
      <c r="E99" s="35"/>
      <c r="F99" s="35"/>
      <c r="G99" s="35"/>
      <c r="H99" s="35"/>
      <c r="I99" s="17"/>
      <c r="J99" s="17"/>
      <c r="K99" s="17"/>
      <c r="L99" s="17"/>
      <c r="M99" s="17"/>
      <c r="N99" s="17"/>
      <c r="O99" s="17"/>
      <c r="P99" s="17"/>
      <c r="Q99" s="17"/>
    </row>
    <row r="100" spans="1:22" ht="15.75" x14ac:dyDescent="0.25">
      <c r="A100" s="2" t="s">
        <v>0</v>
      </c>
      <c r="B100" s="2" t="s">
        <v>1</v>
      </c>
      <c r="C100" s="3" t="s">
        <v>9</v>
      </c>
      <c r="D100" s="53" t="s">
        <v>8</v>
      </c>
      <c r="E100" s="54"/>
      <c r="F100" s="54"/>
      <c r="G100" s="54"/>
      <c r="H100" s="54"/>
      <c r="I100" s="55" t="s">
        <v>59</v>
      </c>
      <c r="J100" s="55" t="s">
        <v>60</v>
      </c>
      <c r="K100" s="55" t="s">
        <v>62</v>
      </c>
      <c r="L100" s="55" t="s">
        <v>61</v>
      </c>
      <c r="M100" s="5" t="s">
        <v>10</v>
      </c>
      <c r="N100" s="4" t="s">
        <v>12</v>
      </c>
      <c r="O100" s="20" t="s">
        <v>13</v>
      </c>
      <c r="P100" s="6" t="s">
        <v>14</v>
      </c>
      <c r="Q100" s="5" t="s">
        <v>15</v>
      </c>
    </row>
    <row r="101" spans="1:22" ht="15.75" x14ac:dyDescent="0.25">
      <c r="A101" s="7"/>
      <c r="B101" s="7"/>
      <c r="C101" s="8" t="s">
        <v>2</v>
      </c>
      <c r="D101" s="9" t="s">
        <v>3</v>
      </c>
      <c r="E101" s="9" t="s">
        <v>4</v>
      </c>
      <c r="F101" s="9" t="s">
        <v>5</v>
      </c>
      <c r="G101" s="9" t="s">
        <v>6</v>
      </c>
      <c r="H101" s="9" t="s">
        <v>7</v>
      </c>
      <c r="I101" s="56"/>
      <c r="J101" s="56"/>
      <c r="K101" s="56"/>
      <c r="L101" s="56"/>
      <c r="M101" s="10" t="s">
        <v>11</v>
      </c>
      <c r="N101" s="11" t="s">
        <v>60</v>
      </c>
      <c r="O101" s="21" t="s">
        <v>166</v>
      </c>
      <c r="P101" s="12" t="s">
        <v>167</v>
      </c>
      <c r="Q101" s="10" t="s">
        <v>16</v>
      </c>
    </row>
    <row r="102" spans="1:22" ht="15.75" x14ac:dyDescent="0.25">
      <c r="A102" s="2" t="s">
        <v>17</v>
      </c>
      <c r="B102" s="1" t="s">
        <v>19</v>
      </c>
      <c r="C102" s="1" t="s">
        <v>140</v>
      </c>
      <c r="D102" s="18">
        <v>24649306.023999996</v>
      </c>
      <c r="E102" s="18">
        <v>26388463.711999997</v>
      </c>
      <c r="F102" s="18">
        <v>25474317.656000007</v>
      </c>
      <c r="G102" s="18">
        <v>25889710.648000002</v>
      </c>
      <c r="H102" s="18">
        <v>21383235.272000007</v>
      </c>
      <c r="I102" s="1">
        <v>25600449.510000002</v>
      </c>
      <c r="J102" s="1">
        <v>-16.473203864458213</v>
      </c>
      <c r="K102" s="1">
        <v>-5.1876095222967491</v>
      </c>
      <c r="L102" s="1">
        <v>-11.285594342161463</v>
      </c>
      <c r="M102" s="32">
        <v>-11.988300000000001</v>
      </c>
      <c r="N102" s="1">
        <f>M102+K102</f>
        <v>-17.175909522296749</v>
      </c>
      <c r="O102" s="1">
        <f>I102+((N102*I102)/100)</f>
        <v>21203339.46486114</v>
      </c>
      <c r="P102" s="18">
        <f>H102</f>
        <v>21383235.272000007</v>
      </c>
      <c r="Q102" s="1">
        <f>-((O102-H102)/H102)*100</f>
        <v>0.8412936810101409</v>
      </c>
      <c r="V102">
        <f>(O102-P102)/P102</f>
        <v>-8.4129368101014089E-3</v>
      </c>
    </row>
    <row r="103" spans="1:22" ht="15.75" x14ac:dyDescent="0.25">
      <c r="A103" s="7" t="s">
        <v>18</v>
      </c>
      <c r="B103" s="1" t="s">
        <v>20</v>
      </c>
      <c r="C103" s="1" t="s">
        <v>141</v>
      </c>
      <c r="D103" s="18">
        <v>20767779.824000008</v>
      </c>
      <c r="E103" s="18">
        <v>29123880.240000013</v>
      </c>
      <c r="F103" s="18">
        <v>29726540.503999997</v>
      </c>
      <c r="G103" s="18">
        <v>29297503.66399999</v>
      </c>
      <c r="H103" s="18">
        <v>23369011.471999992</v>
      </c>
      <c r="I103" s="1">
        <v>27228926.058000002</v>
      </c>
      <c r="J103" s="1">
        <v>-14.175787094129433</v>
      </c>
      <c r="K103" s="1">
        <v>-4.9532392575701598</v>
      </c>
      <c r="L103" s="1">
        <v>-9.2225478365592721</v>
      </c>
      <c r="M103" s="32">
        <v>-10.319100000000001</v>
      </c>
      <c r="N103" s="1">
        <f t="shared" ref="N103:N115" si="23">M103+K103</f>
        <v>-15.27233925757016</v>
      </c>
      <c r="O103" s="1">
        <f t="shared" ref="O103:O115" si="24">I103+((N103*I103)/100)</f>
        <v>23070432.094229318</v>
      </c>
      <c r="P103" s="18">
        <f t="shared" ref="P103:P115" si="25">H103</f>
        <v>23369011.471999992</v>
      </c>
      <c r="Q103" s="1">
        <f>-((O103-H103)/H103)*100</f>
        <v>1.2776722632380999</v>
      </c>
      <c r="V103">
        <f t="shared" ref="V103:V115" si="26">(O103-P103)/P103</f>
        <v>-1.2776722632380999E-2</v>
      </c>
    </row>
    <row r="104" spans="1:22" ht="15.75" x14ac:dyDescent="0.25">
      <c r="A104" s="2" t="s">
        <v>21</v>
      </c>
      <c r="B104" s="1" t="s">
        <v>23</v>
      </c>
      <c r="C104" s="1" t="s">
        <v>142</v>
      </c>
      <c r="D104" s="18">
        <v>22208042.696000002</v>
      </c>
      <c r="E104" s="18">
        <v>28933956.82399999</v>
      </c>
      <c r="F104" s="18">
        <v>29751614.272000015</v>
      </c>
      <c r="G104" s="18">
        <v>22312681.199999999</v>
      </c>
      <c r="H104" s="18">
        <v>20658324.559999991</v>
      </c>
      <c r="I104" s="1">
        <v>25801573.748000003</v>
      </c>
      <c r="J104" s="1">
        <v>-19.933858446904576</v>
      </c>
      <c r="K104" s="1">
        <v>-6.2290872305821283</v>
      </c>
      <c r="L104" s="1">
        <v>-13.704771216322449</v>
      </c>
      <c r="M104" s="37">
        <v>-13.65</v>
      </c>
      <c r="N104" s="1">
        <f t="shared" si="23"/>
        <v>-19.87908723058213</v>
      </c>
      <c r="O104" s="1">
        <f t="shared" si="24"/>
        <v>20672456.395772103</v>
      </c>
      <c r="P104" s="18">
        <f t="shared" si="25"/>
        <v>20658324.559999991</v>
      </c>
      <c r="Q104" s="1">
        <f>((O104-H104)/H104)*100</f>
        <v>6.8407463204808991E-2</v>
      </c>
      <c r="V104">
        <f t="shared" si="26"/>
        <v>6.8407463204808987E-4</v>
      </c>
    </row>
    <row r="105" spans="1:22" ht="15.75" x14ac:dyDescent="0.25">
      <c r="A105" s="13" t="s">
        <v>22</v>
      </c>
      <c r="B105" s="1" t="s">
        <v>82</v>
      </c>
      <c r="C105" s="1" t="s">
        <v>143</v>
      </c>
      <c r="D105" s="18">
        <v>27025283.271999992</v>
      </c>
      <c r="E105" s="18">
        <v>21083587.744000003</v>
      </c>
      <c r="F105" s="18">
        <v>28915431.056000009</v>
      </c>
      <c r="G105" s="18">
        <v>29089796.352000002</v>
      </c>
      <c r="H105" s="18">
        <v>23414288.264000002</v>
      </c>
      <c r="I105" s="1">
        <v>26528524.605999999</v>
      </c>
      <c r="J105" s="1">
        <v>-11.739199176179005</v>
      </c>
      <c r="K105" s="1">
        <v>-1.6861633723729623</v>
      </c>
      <c r="L105" s="1">
        <v>-10.053035803806043</v>
      </c>
      <c r="M105" s="31">
        <v>-7.8529</v>
      </c>
      <c r="N105" s="1">
        <f t="shared" si="23"/>
        <v>-9.5390633723729614</v>
      </c>
      <c r="O105" s="1">
        <f t="shared" si="24"/>
        <v>23997951.832078103</v>
      </c>
      <c r="P105" s="18">
        <f t="shared" si="25"/>
        <v>23414288.264000002</v>
      </c>
      <c r="Q105" s="1">
        <f>((O105-H105)/H105)*100</f>
        <v>2.4927666452945174</v>
      </c>
      <c r="V105">
        <f t="shared" si="26"/>
        <v>2.4927666452945172E-2</v>
      </c>
    </row>
    <row r="106" spans="1:22" ht="15.75" x14ac:dyDescent="0.25">
      <c r="A106" s="13"/>
      <c r="B106" s="1" t="s">
        <v>25</v>
      </c>
      <c r="C106" s="1" t="s">
        <v>144</v>
      </c>
      <c r="D106" s="18">
        <v>23272361.783999994</v>
      </c>
      <c r="E106" s="18">
        <v>30686317.911999989</v>
      </c>
      <c r="F106" s="18">
        <v>29710821.192000005</v>
      </c>
      <c r="G106" s="18">
        <v>29906453.991999999</v>
      </c>
      <c r="H106" s="18">
        <v>23798220.599999998</v>
      </c>
      <c r="I106" s="1">
        <v>28393988.719999995</v>
      </c>
      <c r="J106" s="1">
        <v>-16.18570805715245</v>
      </c>
      <c r="K106" s="1">
        <v>-4.518311150841698</v>
      </c>
      <c r="L106" s="1">
        <v>-11.667396906310753</v>
      </c>
      <c r="M106" s="1">
        <v>-9.3459000000000003</v>
      </c>
      <c r="N106" s="1">
        <f t="shared" si="23"/>
        <v>-13.864211150841697</v>
      </c>
      <c r="O106" s="1">
        <f t="shared" si="24"/>
        <v>24457386.16971302</v>
      </c>
      <c r="P106" s="18">
        <f t="shared" si="25"/>
        <v>23798220.599999998</v>
      </c>
      <c r="Q106" s="1">
        <f>((O106-H106)/H106)*100</f>
        <v>2.7698103181421163</v>
      </c>
      <c r="V106">
        <f t="shared" si="26"/>
        <v>2.7698103181421161E-2</v>
      </c>
    </row>
    <row r="107" spans="1:22" ht="15.75" x14ac:dyDescent="0.25">
      <c r="A107" s="13"/>
      <c r="B107" s="1" t="s">
        <v>26</v>
      </c>
      <c r="C107" s="1" t="s">
        <v>145</v>
      </c>
      <c r="D107" s="18">
        <v>27210185.296000004</v>
      </c>
      <c r="E107" s="18">
        <v>27031164.551999997</v>
      </c>
      <c r="F107" s="18">
        <v>27719443.167999998</v>
      </c>
      <c r="G107" s="18">
        <v>27294018.752000004</v>
      </c>
      <c r="H107" s="18">
        <v>25703679.503999997</v>
      </c>
      <c r="I107" s="1">
        <v>27313702.942000002</v>
      </c>
      <c r="J107" s="1">
        <v>-5.894563038262703</v>
      </c>
      <c r="K107" s="1">
        <v>-2.1361635756669308</v>
      </c>
      <c r="L107" s="1">
        <v>-3.7583994625957722</v>
      </c>
      <c r="M107" s="1">
        <v>-9.15</v>
      </c>
      <c r="N107" s="1">
        <f t="shared" si="23"/>
        <v>-11.286163575666931</v>
      </c>
      <c r="O107" s="1">
        <f t="shared" si="24"/>
        <v>24231033.74939413</v>
      </c>
      <c r="P107" s="18">
        <f t="shared" si="25"/>
        <v>25703679.503999997</v>
      </c>
      <c r="Q107" s="1">
        <f>-((O107-H107)/H107)*100</f>
        <v>5.7293188485978996</v>
      </c>
      <c r="V107">
        <f t="shared" si="26"/>
        <v>-5.7293188485978995E-2</v>
      </c>
    </row>
    <row r="108" spans="1:22" ht="15.75" x14ac:dyDescent="0.25">
      <c r="A108" s="13"/>
      <c r="B108" s="1" t="s">
        <v>35</v>
      </c>
      <c r="C108" s="1" t="s">
        <v>146</v>
      </c>
      <c r="D108" s="18">
        <v>28152490.67200001</v>
      </c>
      <c r="E108" s="18">
        <v>24068160.223999988</v>
      </c>
      <c r="F108" s="18">
        <v>21402954.399999991</v>
      </c>
      <c r="G108" s="18">
        <v>19347440.591999996</v>
      </c>
      <c r="H108" s="18">
        <v>18556039.552000005</v>
      </c>
      <c r="I108" s="1">
        <v>23242761.471999995</v>
      </c>
      <c r="J108" s="1">
        <v>-20.164221560531754</v>
      </c>
      <c r="K108" s="1">
        <v>-4.5612356338052029</v>
      </c>
      <c r="L108" s="1">
        <v>-15.60298592672655</v>
      </c>
      <c r="M108" s="1">
        <v>-14.2136</v>
      </c>
      <c r="N108" s="1">
        <f t="shared" si="23"/>
        <v>-18.774835633805203</v>
      </c>
      <c r="O108" s="1">
        <f t="shared" si="24"/>
        <v>18878971.208874594</v>
      </c>
      <c r="P108" s="18">
        <f t="shared" si="25"/>
        <v>18556039.552000005</v>
      </c>
      <c r="Q108" s="1">
        <f>((O108-H108)/H108)*100</f>
        <v>1.7403048531429943</v>
      </c>
      <c r="V108">
        <f t="shared" si="26"/>
        <v>1.7403048531429943E-2</v>
      </c>
    </row>
    <row r="109" spans="1:22" ht="15.75" x14ac:dyDescent="0.25">
      <c r="A109" s="13"/>
      <c r="B109" s="1" t="s">
        <v>36</v>
      </c>
      <c r="C109" s="1" t="s">
        <v>147</v>
      </c>
      <c r="D109" s="18">
        <v>24068160.223999988</v>
      </c>
      <c r="E109" s="18">
        <v>21402954.399999991</v>
      </c>
      <c r="F109" s="18">
        <v>19347440.591999996</v>
      </c>
      <c r="G109" s="18">
        <v>18556039.552000005</v>
      </c>
      <c r="H109" s="18">
        <v>20061147.615999997</v>
      </c>
      <c r="I109" s="1">
        <v>20843648.691999994</v>
      </c>
      <c r="J109" s="1">
        <v>-3.7541463472291654</v>
      </c>
      <c r="K109" s="1">
        <v>-2.2169826982039371</v>
      </c>
      <c r="L109" s="1">
        <v>-1.5371636490252283</v>
      </c>
      <c r="M109" s="32">
        <v>-2.8948999999999998</v>
      </c>
      <c r="N109" s="1">
        <f t="shared" si="23"/>
        <v>-5.1118826982039369</v>
      </c>
      <c r="O109" s="1">
        <f t="shared" si="24"/>
        <v>19778145.820839234</v>
      </c>
      <c r="P109" s="18">
        <f t="shared" si="25"/>
        <v>20061147.615999997</v>
      </c>
      <c r="Q109" s="1">
        <f>-((O109-H109)/H109)*100</f>
        <v>1.4106959411188005</v>
      </c>
      <c r="V109">
        <f t="shared" si="26"/>
        <v>-1.4106959411188004E-2</v>
      </c>
    </row>
    <row r="110" spans="1:22" ht="15.75" x14ac:dyDescent="0.25">
      <c r="A110" s="2" t="s">
        <v>21</v>
      </c>
      <c r="B110" s="1" t="s">
        <v>56</v>
      </c>
      <c r="C110" s="1" t="s">
        <v>148</v>
      </c>
      <c r="D110" s="18">
        <v>26929203.224000007</v>
      </c>
      <c r="E110" s="18">
        <v>26205002.327999994</v>
      </c>
      <c r="F110" s="18">
        <v>27649232.464000002</v>
      </c>
      <c r="G110" s="18">
        <v>28487017.607999995</v>
      </c>
      <c r="H110" s="18">
        <v>22518592.687999986</v>
      </c>
      <c r="I110" s="1">
        <v>27317613.905999999</v>
      </c>
      <c r="J110" s="1">
        <v>-17.567497785544013</v>
      </c>
      <c r="K110" s="1">
        <v>-8.106170516711904</v>
      </c>
      <c r="L110" s="1">
        <v>-9.4613272688321093</v>
      </c>
      <c r="M110" s="32">
        <v>-8.9578000000000007</v>
      </c>
      <c r="N110" s="1">
        <f t="shared" si="23"/>
        <v>-17.063970516711905</v>
      </c>
      <c r="O110" s="1">
        <f t="shared" si="24"/>
        <v>22656144.32321097</v>
      </c>
      <c r="P110" s="18">
        <f t="shared" si="25"/>
        <v>22518592.687999986</v>
      </c>
      <c r="Q110" s="1">
        <f>((O110-H110)/H110)*100</f>
        <v>0.61083584181654405</v>
      </c>
      <c r="V110">
        <f t="shared" si="26"/>
        <v>6.108358418165441E-3</v>
      </c>
    </row>
    <row r="111" spans="1:22" ht="15.75" x14ac:dyDescent="0.25">
      <c r="A111" s="13" t="s">
        <v>27</v>
      </c>
      <c r="B111" s="1" t="s">
        <v>57</v>
      </c>
      <c r="C111" s="1" t="s">
        <v>149</v>
      </c>
      <c r="D111" s="18">
        <v>23185442.671999995</v>
      </c>
      <c r="E111" s="18">
        <v>30488212.287999984</v>
      </c>
      <c r="F111" s="18">
        <v>31284871.175999995</v>
      </c>
      <c r="G111" s="18">
        <v>30880025.823999994</v>
      </c>
      <c r="H111" s="18">
        <v>25094944.103999987</v>
      </c>
      <c r="I111" s="1">
        <v>28959637.989999995</v>
      </c>
      <c r="J111" s="1">
        <v>-13.345104270068978</v>
      </c>
      <c r="K111" s="1">
        <v>-6.5666471610718533</v>
      </c>
      <c r="L111" s="1">
        <v>-6.7784571089971246</v>
      </c>
      <c r="M111" s="32">
        <v>-6.9363999999999999</v>
      </c>
      <c r="N111" s="1">
        <f t="shared" si="23"/>
        <v>-13.503047161071853</v>
      </c>
      <c r="O111" s="1">
        <f t="shared" si="24"/>
        <v>25049204.414534613</v>
      </c>
      <c r="P111" s="18">
        <f t="shared" si="25"/>
        <v>25094944.103999987</v>
      </c>
      <c r="Q111" s="1">
        <f>-((O111-H111)/H111)*100</f>
        <v>0.18226655248091633</v>
      </c>
      <c r="V111">
        <f t="shared" si="26"/>
        <v>-1.8226655248091634E-3</v>
      </c>
    </row>
    <row r="112" spans="1:22" ht="15.75" x14ac:dyDescent="0.25">
      <c r="A112" s="13"/>
      <c r="B112" s="1" t="s">
        <v>58</v>
      </c>
      <c r="C112" s="1" t="s">
        <v>133</v>
      </c>
      <c r="D112" s="18">
        <v>33735338.095999993</v>
      </c>
      <c r="E112" s="18">
        <v>32642074.944000002</v>
      </c>
      <c r="F112" s="18">
        <v>31107022.223999999</v>
      </c>
      <c r="G112" s="18">
        <v>22935017.631999999</v>
      </c>
      <c r="H112" s="18">
        <v>23465166.680000011</v>
      </c>
      <c r="I112" s="1">
        <v>30104863.223999999</v>
      </c>
      <c r="J112" s="1">
        <v>-22.055229065803342</v>
      </c>
      <c r="K112" s="1">
        <v>-8.7823477538703028</v>
      </c>
      <c r="L112" s="1">
        <v>-13.272881311933039</v>
      </c>
      <c r="M112" s="32">
        <v>-10.5825</v>
      </c>
      <c r="N112" s="1">
        <f t="shared" si="23"/>
        <v>-19.364847753870301</v>
      </c>
      <c r="O112" s="1">
        <f t="shared" si="24"/>
        <v>24275102.29416151</v>
      </c>
      <c r="P112" s="18">
        <f t="shared" si="25"/>
        <v>23465166.680000011</v>
      </c>
      <c r="Q112" s="1">
        <f>((O112-H112)/H112)*100</f>
        <v>3.4516508031107596</v>
      </c>
      <c r="V112">
        <f t="shared" si="26"/>
        <v>3.4516508031107597E-2</v>
      </c>
    </row>
    <row r="113" spans="1:23" ht="15.75" x14ac:dyDescent="0.25">
      <c r="A113" s="2" t="s">
        <v>21</v>
      </c>
      <c r="B113" s="22" t="s">
        <v>30</v>
      </c>
      <c r="C113" s="1" t="s">
        <v>150</v>
      </c>
      <c r="D113" s="18">
        <v>26571839.079999998</v>
      </c>
      <c r="E113" s="18">
        <v>21378547.239999987</v>
      </c>
      <c r="F113" s="18">
        <v>28930032.399999987</v>
      </c>
      <c r="G113" s="18">
        <v>29008866.071999986</v>
      </c>
      <c r="H113" s="18">
        <v>23458005.864</v>
      </c>
      <c r="I113" s="1">
        <v>26472321.197999988</v>
      </c>
      <c r="J113" s="1">
        <v>-11.386668027538599</v>
      </c>
      <c r="K113" s="1">
        <v>-1.7419395877920738</v>
      </c>
      <c r="L113" s="1">
        <v>-9.644728439746526</v>
      </c>
      <c r="M113" s="32">
        <v>-9.0695999999999994</v>
      </c>
      <c r="N113" s="1">
        <f t="shared" si="23"/>
        <v>-10.811539587792073</v>
      </c>
      <c r="O113" s="1">
        <f t="shared" si="24"/>
        <v>23610255.711870745</v>
      </c>
      <c r="P113" s="18">
        <f t="shared" si="25"/>
        <v>23458005.864</v>
      </c>
      <c r="Q113" s="1">
        <f>((O113-H113)/H113)*100</f>
        <v>0.64903150230854068</v>
      </c>
      <c r="V113">
        <f t="shared" si="26"/>
        <v>6.4903150230854068E-3</v>
      </c>
    </row>
    <row r="114" spans="1:23" ht="15.75" x14ac:dyDescent="0.25">
      <c r="A114" s="13" t="s">
        <v>63</v>
      </c>
      <c r="B114" s="22" t="s">
        <v>64</v>
      </c>
      <c r="C114" s="1" t="s">
        <v>151</v>
      </c>
      <c r="D114" s="18">
        <v>27701895.935999997</v>
      </c>
      <c r="E114" s="18">
        <v>27860853.456</v>
      </c>
      <c r="F114" s="18">
        <v>25524164.023999993</v>
      </c>
      <c r="G114" s="18">
        <v>26210528.944000002</v>
      </c>
      <c r="H114" s="18">
        <v>20598511.239999998</v>
      </c>
      <c r="I114" s="1">
        <v>26824360.59</v>
      </c>
      <c r="J114" s="1">
        <v>-23.209684082165857</v>
      </c>
      <c r="K114" s="1">
        <v>-11.902688056370025</v>
      </c>
      <c r="L114" s="1">
        <v>-11.306996025795833</v>
      </c>
      <c r="M114" s="32">
        <v>-11.9879</v>
      </c>
      <c r="N114" s="1">
        <f t="shared" si="23"/>
        <v>-23.890588056370024</v>
      </c>
      <c r="O114" s="1">
        <f t="shared" si="24"/>
        <v>20415863.102687832</v>
      </c>
      <c r="P114" s="18">
        <f t="shared" si="25"/>
        <v>20598511.239999998</v>
      </c>
      <c r="Q114" s="1">
        <f>-((O114-H114)/H114)*100</f>
        <v>0.88670552538517544</v>
      </c>
      <c r="V114">
        <f t="shared" si="26"/>
        <v>-8.8670552538517543E-3</v>
      </c>
    </row>
    <row r="115" spans="1:23" ht="15.75" x14ac:dyDescent="0.25">
      <c r="A115" s="13" t="s">
        <v>31</v>
      </c>
      <c r="B115" s="23" t="s">
        <v>65</v>
      </c>
      <c r="C115" s="1" t="s">
        <v>152</v>
      </c>
      <c r="D115" s="18">
        <v>32850749.392000001</v>
      </c>
      <c r="E115" s="18">
        <v>26168015.472000003</v>
      </c>
      <c r="F115" s="18">
        <v>25505982.400000006</v>
      </c>
      <c r="G115" s="18">
        <v>30188564.856000021</v>
      </c>
      <c r="H115" s="18">
        <v>23319885.640000015</v>
      </c>
      <c r="I115" s="1">
        <v>28678328.030000009</v>
      </c>
      <c r="J115" s="1">
        <v>-18.684640137997583</v>
      </c>
      <c r="K115" s="1">
        <v>-2.7956006578741195</v>
      </c>
      <c r="L115" s="1">
        <v>-15.889039480123463</v>
      </c>
      <c r="M115" s="1">
        <v>-9.4720999999999993</v>
      </c>
      <c r="N115" s="1">
        <f t="shared" si="23"/>
        <v>-12.267700657874119</v>
      </c>
      <c r="O115" s="1">
        <f t="shared" si="24"/>
        <v>25160156.593596399</v>
      </c>
      <c r="P115" s="18">
        <f t="shared" si="25"/>
        <v>23319885.640000015</v>
      </c>
      <c r="Q115" s="1">
        <f>((O115-H115)/H115)*100</f>
        <v>7.891423577308684</v>
      </c>
      <c r="V115">
        <f t="shared" si="26"/>
        <v>7.8914235773086844E-2</v>
      </c>
    </row>
    <row r="116" spans="1:23" ht="15.75" x14ac:dyDescent="0.25">
      <c r="A116" s="7" t="s">
        <v>32</v>
      </c>
      <c r="B116" s="22"/>
      <c r="C116" s="1"/>
      <c r="D116" s="18"/>
      <c r="E116" s="18"/>
      <c r="F116" s="18"/>
      <c r="G116" s="18"/>
      <c r="H116" s="18"/>
      <c r="I116" s="1"/>
      <c r="J116" s="1"/>
      <c r="K116" s="1"/>
      <c r="L116" s="1"/>
      <c r="M116" s="1"/>
      <c r="N116" s="1"/>
      <c r="O116" s="1"/>
      <c r="P116" s="1" t="s">
        <v>96</v>
      </c>
      <c r="Q116" s="1">
        <f>SUM(Q102:Q115)/14</f>
        <v>2.143013129725714</v>
      </c>
      <c r="R116" s="39" t="s">
        <v>198</v>
      </c>
      <c r="S116" s="39">
        <f>SQRT(SUMSQ(Q102:Q115)/COUNTA(Q102:Q115))</f>
        <v>3.045802072772521</v>
      </c>
      <c r="T116" s="39" t="s">
        <v>199</v>
      </c>
      <c r="U116" s="39">
        <f>RSQ(O102:O115,P102:P115)</f>
        <v>0.87628775630259226</v>
      </c>
      <c r="V116" s="39" t="s">
        <v>200</v>
      </c>
      <c r="W116" s="39">
        <f t="array" ref="W116">AVERAGE(ABS(V102:V115))</f>
        <v>2.1430131297257144E-2</v>
      </c>
    </row>
    <row r="117" spans="1:23" ht="15.75" x14ac:dyDescent="0.25">
      <c r="A117" s="17"/>
      <c r="B117" s="17"/>
      <c r="C117" s="17"/>
      <c r="D117" s="35"/>
      <c r="E117" s="35"/>
      <c r="F117" s="35"/>
      <c r="G117" s="35"/>
      <c r="H117" s="35"/>
      <c r="I117" s="17"/>
      <c r="J117" s="17"/>
      <c r="K117" s="17"/>
      <c r="L117" s="17"/>
      <c r="M117" s="17"/>
      <c r="N117" s="17"/>
      <c r="O117" s="17"/>
      <c r="P117" s="17"/>
      <c r="Q117" s="17"/>
    </row>
    <row r="118" spans="1:23" x14ac:dyDescent="0.25">
      <c r="N118" t="s">
        <v>172</v>
      </c>
      <c r="O118" t="s">
        <v>173</v>
      </c>
      <c r="P118" t="s">
        <v>169</v>
      </c>
      <c r="Q118" t="s">
        <v>170</v>
      </c>
      <c r="R118" t="s">
        <v>171</v>
      </c>
      <c r="S118" t="s">
        <v>197</v>
      </c>
    </row>
    <row r="119" spans="1:23" ht="15.75" x14ac:dyDescent="0.25">
      <c r="B119" s="1" t="s">
        <v>157</v>
      </c>
      <c r="N119">
        <v>0.8553011618920916</v>
      </c>
      <c r="O119">
        <v>0.8553011618920916</v>
      </c>
      <c r="P119">
        <v>0.8553011618920916</v>
      </c>
      <c r="Q119">
        <v>0.8548222736568124</v>
      </c>
      <c r="R119">
        <v>0.8293214751281266</v>
      </c>
      <c r="S119">
        <v>0.89301361042044858</v>
      </c>
    </row>
    <row r="120" spans="1:23" ht="15.75" x14ac:dyDescent="0.25">
      <c r="B120" s="1" t="s">
        <v>158</v>
      </c>
      <c r="N120">
        <v>1.4356696341533792</v>
      </c>
      <c r="O120">
        <v>1.6881624828063144</v>
      </c>
      <c r="P120">
        <v>0.16819514977556174</v>
      </c>
      <c r="Q120">
        <v>1.6454006574922322</v>
      </c>
      <c r="R120">
        <v>1.7139127917829333</v>
      </c>
      <c r="S120">
        <v>1.6179025899878143</v>
      </c>
    </row>
    <row r="121" spans="1:23" ht="15.75" x14ac:dyDescent="0.25">
      <c r="B121" s="1" t="s">
        <v>97</v>
      </c>
      <c r="N121">
        <v>0.26868883588563647</v>
      </c>
      <c r="O121">
        <v>0.28717355328666527</v>
      </c>
      <c r="P121">
        <v>0.5886742817062075</v>
      </c>
      <c r="Q121">
        <v>6.8407463204808991E-2</v>
      </c>
      <c r="R121">
        <v>6.8407463204808991E-2</v>
      </c>
      <c r="S121">
        <v>6.8407463204808991E-2</v>
      </c>
    </row>
    <row r="122" spans="1:23" ht="15.75" x14ac:dyDescent="0.25">
      <c r="B122" s="1" t="s">
        <v>159</v>
      </c>
      <c r="N122">
        <v>2.9435896565135802</v>
      </c>
      <c r="O122">
        <v>2.9903827964063754</v>
      </c>
      <c r="P122">
        <v>11.390147959197748</v>
      </c>
      <c r="Q122">
        <v>2.8336880930849477</v>
      </c>
      <c r="R122">
        <v>2.6214761051449429</v>
      </c>
      <c r="S122">
        <v>2.5403528892533029</v>
      </c>
    </row>
    <row r="123" spans="1:23" ht="15.75" x14ac:dyDescent="0.25">
      <c r="B123" s="1" t="s">
        <v>160</v>
      </c>
      <c r="N123">
        <v>4.6141258449666722</v>
      </c>
      <c r="O123">
        <v>4.1424879049008627</v>
      </c>
      <c r="P123">
        <v>9.0228011607704239</v>
      </c>
      <c r="Q123">
        <v>4.1527486847758057</v>
      </c>
      <c r="R123">
        <v>4.0531236708737088</v>
      </c>
      <c r="S123">
        <v>4.0921384966772845</v>
      </c>
    </row>
    <row r="124" spans="1:23" ht="15.75" x14ac:dyDescent="0.25">
      <c r="B124" s="1" t="s">
        <v>98</v>
      </c>
      <c r="N124">
        <v>7.3952162192646078</v>
      </c>
      <c r="O124">
        <v>7.5973299399387253</v>
      </c>
      <c r="P124">
        <v>7.5971174123670311</v>
      </c>
      <c r="Q124">
        <v>7.5181634194854023</v>
      </c>
      <c r="R124">
        <v>7.5619440992528739</v>
      </c>
      <c r="S124">
        <v>7.514869242124254</v>
      </c>
    </row>
    <row r="125" spans="1:23" ht="15.75" x14ac:dyDescent="0.25">
      <c r="B125" s="1" t="s">
        <v>100</v>
      </c>
      <c r="N125">
        <v>4.9545279122262285</v>
      </c>
      <c r="O125">
        <v>3.8348544807486964</v>
      </c>
      <c r="P125">
        <v>3.8134355125439119</v>
      </c>
      <c r="Q125">
        <v>3.7872567736269209</v>
      </c>
      <c r="R125">
        <v>3.8037907139955447</v>
      </c>
      <c r="S125">
        <v>3.8880887584506696</v>
      </c>
    </row>
    <row r="126" spans="1:23" ht="15.75" x14ac:dyDescent="0.25">
      <c r="B126" s="1" t="s">
        <v>99</v>
      </c>
      <c r="N126">
        <v>1.5198954505118689</v>
      </c>
      <c r="O126">
        <v>1.5198954505118689</v>
      </c>
      <c r="P126">
        <v>1.5971219441524247</v>
      </c>
      <c r="Q126">
        <v>1.4829068440951736</v>
      </c>
      <c r="R126">
        <v>1.5000504397658414</v>
      </c>
      <c r="S126">
        <v>1.5529358348953033</v>
      </c>
    </row>
    <row r="127" spans="1:23" ht="15.75" x14ac:dyDescent="0.25">
      <c r="B127" s="1" t="s">
        <v>161</v>
      </c>
      <c r="N127">
        <v>0.55964244253064632</v>
      </c>
      <c r="O127">
        <v>0.55964244253064632</v>
      </c>
      <c r="P127">
        <v>1.7922211403025901</v>
      </c>
      <c r="Q127">
        <v>0.55964244253064632</v>
      </c>
      <c r="R127">
        <v>0.55964244253064632</v>
      </c>
      <c r="S127">
        <v>0.55964244253064632</v>
      </c>
    </row>
    <row r="128" spans="1:23" ht="15.75" x14ac:dyDescent="0.25">
      <c r="B128" s="1" t="s">
        <v>162</v>
      </c>
      <c r="N128">
        <v>1.5669546187381391</v>
      </c>
      <c r="O128">
        <v>1.0057630139203364</v>
      </c>
      <c r="P128">
        <v>0.66869517771167031</v>
      </c>
      <c r="Q128">
        <v>1.0057630139203364</v>
      </c>
      <c r="R128">
        <v>1.0057630139203364</v>
      </c>
      <c r="S128">
        <v>1.0057630139203364</v>
      </c>
    </row>
    <row r="129" spans="2:19" ht="15.75" x14ac:dyDescent="0.25">
      <c r="B129" s="1" t="s">
        <v>163</v>
      </c>
      <c r="N129">
        <v>1.6330554271660394</v>
      </c>
      <c r="O129">
        <v>1.6330554271660394</v>
      </c>
      <c r="P129">
        <v>1.6330554271660394</v>
      </c>
      <c r="Q129">
        <v>1.6335686110463699</v>
      </c>
      <c r="R129">
        <v>1.6637181640161809</v>
      </c>
      <c r="S129">
        <v>1.5884084295767171</v>
      </c>
    </row>
    <row r="130" spans="2:19" ht="15.75" x14ac:dyDescent="0.25">
      <c r="B130" s="22" t="s">
        <v>164</v>
      </c>
      <c r="N130">
        <v>0.72757498831765688</v>
      </c>
      <c r="O130">
        <v>0.72757498831765688</v>
      </c>
      <c r="P130">
        <v>0.19406962409101214</v>
      </c>
      <c r="Q130">
        <v>0.74314826571602244</v>
      </c>
      <c r="R130">
        <v>0.73626442570660267</v>
      </c>
      <c r="S130">
        <v>0.72757498831765688</v>
      </c>
    </row>
    <row r="131" spans="2:19" ht="15.75" x14ac:dyDescent="0.25">
      <c r="B131" s="22" t="s">
        <v>165</v>
      </c>
      <c r="N131">
        <v>0.90246272061920174</v>
      </c>
      <c r="O131">
        <v>0.90246272061920174</v>
      </c>
      <c r="P131">
        <v>0.90246272061920174</v>
      </c>
      <c r="Q131">
        <v>0.90194182160319247</v>
      </c>
      <c r="R131">
        <v>0.87498529752514842</v>
      </c>
      <c r="S131">
        <v>0.94126969731127497</v>
      </c>
    </row>
    <row r="132" spans="2:19" ht="15.75" x14ac:dyDescent="0.25">
      <c r="B132" s="23" t="s">
        <v>101</v>
      </c>
      <c r="N132">
        <v>8.9969957613654969</v>
      </c>
      <c r="O132">
        <v>8.0495732801670883</v>
      </c>
      <c r="P132">
        <v>14.525102637641599</v>
      </c>
      <c r="Q132">
        <v>8.062240013755277</v>
      </c>
      <c r="R132">
        <v>8.0756446153194883</v>
      </c>
      <c r="S132">
        <v>8.0001361257743415</v>
      </c>
    </row>
    <row r="133" spans="2:19" ht="15.75" x14ac:dyDescent="0.25">
      <c r="B133" s="1" t="s">
        <v>96</v>
      </c>
      <c r="N133">
        <v>2.7409786195822319</v>
      </c>
      <c r="O133">
        <v>2.5566899745151832</v>
      </c>
      <c r="P133">
        <v>3.9106000935669658</v>
      </c>
      <c r="Q133">
        <v>2.5178355984281393</v>
      </c>
      <c r="R133">
        <v>2.5048603370119418</v>
      </c>
      <c r="S133">
        <v>2.4993216844603472</v>
      </c>
    </row>
  </sheetData>
  <mergeCells count="31">
    <mergeCell ref="D61:H61"/>
    <mergeCell ref="I61:I62"/>
    <mergeCell ref="J61:J62"/>
    <mergeCell ref="K61:K62"/>
    <mergeCell ref="L61:L62"/>
    <mergeCell ref="B20:O20"/>
    <mergeCell ref="D23:H23"/>
    <mergeCell ref="I23:I24"/>
    <mergeCell ref="J23:J24"/>
    <mergeCell ref="K23:K24"/>
    <mergeCell ref="L23:L24"/>
    <mergeCell ref="D4:H4"/>
    <mergeCell ref="I4:I5"/>
    <mergeCell ref="J4:J5"/>
    <mergeCell ref="K4:K5"/>
    <mergeCell ref="L4:L5"/>
    <mergeCell ref="D80:H80"/>
    <mergeCell ref="I80:I81"/>
    <mergeCell ref="J80:J81"/>
    <mergeCell ref="K80:K81"/>
    <mergeCell ref="L80:L81"/>
    <mergeCell ref="D42:H42"/>
    <mergeCell ref="I42:I43"/>
    <mergeCell ref="J42:J43"/>
    <mergeCell ref="K42:K43"/>
    <mergeCell ref="L42:L43"/>
    <mergeCell ref="D100:H100"/>
    <mergeCell ref="I100:I101"/>
    <mergeCell ref="J100:J101"/>
    <mergeCell ref="K100:K101"/>
    <mergeCell ref="L100:L101"/>
  </mergeCells>
  <pageMargins left="0.7" right="0.7" top="0.75" bottom="0.75" header="0.3" footer="0.3"/>
  <pageSetup scale="56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S22"/>
  <sheetViews>
    <sheetView workbookViewId="0">
      <selection activeCell="D20" sqref="D20"/>
    </sheetView>
  </sheetViews>
  <sheetFormatPr defaultRowHeight="15" x14ac:dyDescent="0.25"/>
  <sheetData>
    <row r="1" spans="2:19" x14ac:dyDescent="0.25">
      <c r="B1" s="106" t="s">
        <v>258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3" spans="2:19" x14ac:dyDescent="0.25">
      <c r="B3" s="94" t="s">
        <v>255</v>
      </c>
      <c r="C3" s="95"/>
      <c r="D3" s="81"/>
      <c r="E3" s="96" t="s">
        <v>256</v>
      </c>
      <c r="F3" s="97"/>
      <c r="G3" s="79"/>
      <c r="H3" s="98" t="s">
        <v>204</v>
      </c>
      <c r="I3" s="99"/>
      <c r="J3" s="82"/>
      <c r="K3" s="100" t="s">
        <v>170</v>
      </c>
      <c r="L3" s="101"/>
      <c r="M3" s="92"/>
      <c r="N3" s="102" t="s">
        <v>257</v>
      </c>
      <c r="O3" s="103"/>
      <c r="P3" s="93"/>
      <c r="Q3" s="104" t="s">
        <v>197</v>
      </c>
      <c r="R3" s="105"/>
      <c r="S3" s="80"/>
    </row>
    <row r="4" spans="2:19" x14ac:dyDescent="0.25">
      <c r="B4" s="70" t="s">
        <v>254</v>
      </c>
      <c r="C4" s="70" t="s">
        <v>12</v>
      </c>
      <c r="D4" s="70" t="s">
        <v>15</v>
      </c>
      <c r="E4" s="76" t="s">
        <v>254</v>
      </c>
      <c r="F4" s="76" t="s">
        <v>12</v>
      </c>
      <c r="G4" s="76" t="s">
        <v>15</v>
      </c>
      <c r="H4" s="83" t="s">
        <v>254</v>
      </c>
      <c r="I4" s="83" t="s">
        <v>12</v>
      </c>
      <c r="J4" s="83" t="s">
        <v>15</v>
      </c>
      <c r="K4" s="89" t="s">
        <v>254</v>
      </c>
      <c r="L4" s="89" t="s">
        <v>12</v>
      </c>
      <c r="M4" s="89" t="s">
        <v>15</v>
      </c>
      <c r="N4" s="86" t="s">
        <v>254</v>
      </c>
      <c r="O4" s="86" t="s">
        <v>12</v>
      </c>
      <c r="P4" s="86" t="s">
        <v>15</v>
      </c>
      <c r="Q4" s="73" t="s">
        <v>254</v>
      </c>
      <c r="R4" s="73" t="s">
        <v>12</v>
      </c>
      <c r="S4" s="73" t="s">
        <v>15</v>
      </c>
    </row>
    <row r="5" spans="2:19" x14ac:dyDescent="0.25">
      <c r="B5" s="70">
        <v>-11.285594342161463</v>
      </c>
      <c r="C5" s="70">
        <v>-12</v>
      </c>
      <c r="D5" s="70">
        <v>0.8553011618920916</v>
      </c>
      <c r="E5" s="76">
        <v>-11.285594342161463</v>
      </c>
      <c r="F5" s="76">
        <v>-12</v>
      </c>
      <c r="G5" s="76">
        <v>0.8553011618920916</v>
      </c>
      <c r="H5" s="83">
        <v>-11.285594342161463</v>
      </c>
      <c r="I5" s="83">
        <v>-11.9628</v>
      </c>
      <c r="J5" s="83">
        <v>0.81076455601098907</v>
      </c>
      <c r="K5" s="89">
        <v>-11.285594342161463</v>
      </c>
      <c r="L5" s="89">
        <v>-11.9595</v>
      </c>
      <c r="M5" s="89">
        <v>0.8068137280699359</v>
      </c>
      <c r="N5" s="86">
        <v>-11.285594342161463</v>
      </c>
      <c r="O5" s="86">
        <v>-11.983700000000001</v>
      </c>
      <c r="P5" s="86">
        <v>0.835786466304413</v>
      </c>
      <c r="Q5" s="73">
        <v>-11.285594342161463</v>
      </c>
      <c r="R5" s="73">
        <v>-11.988300000000001</v>
      </c>
      <c r="S5" s="73">
        <v>0.8412936810101409</v>
      </c>
    </row>
    <row r="6" spans="2:19" x14ac:dyDescent="0.25">
      <c r="B6" s="70">
        <v>-9.2225478365592721</v>
      </c>
      <c r="C6" s="70">
        <v>-9.7887000000000004</v>
      </c>
      <c r="D6" s="70">
        <v>0.65966484779961509</v>
      </c>
      <c r="E6" s="76">
        <v>-9.2225478365592721</v>
      </c>
      <c r="F6" s="76">
        <v>-10.2628</v>
      </c>
      <c r="G6" s="76">
        <v>1.2120730598271174</v>
      </c>
      <c r="H6" s="83">
        <v>-9.2225478365592721</v>
      </c>
      <c r="I6" s="83">
        <v>-10.2758</v>
      </c>
      <c r="J6" s="83">
        <v>1.2272203004015896</v>
      </c>
      <c r="K6" s="89">
        <v>-9.2225478365592721</v>
      </c>
      <c r="L6" s="89">
        <v>-10.3246</v>
      </c>
      <c r="M6" s="89">
        <v>1.2840807111734645</v>
      </c>
      <c r="N6" s="86">
        <v>-9.2225478365592721</v>
      </c>
      <c r="O6" s="86">
        <v>-10.2675</v>
      </c>
      <c r="P6" s="86">
        <v>1.2175493698809625</v>
      </c>
      <c r="Q6" s="73">
        <v>-9.2225478365592721</v>
      </c>
      <c r="R6" s="73">
        <v>-10.319100000000001</v>
      </c>
      <c r="S6" s="73">
        <v>1.2776722632380999</v>
      </c>
    </row>
    <row r="7" spans="2:19" x14ac:dyDescent="0.25">
      <c r="B7" s="70">
        <v>-13.704771216322449</v>
      </c>
      <c r="C7" s="70">
        <v>-13.9199</v>
      </c>
      <c r="D7" s="70">
        <v>0.26868883588563647</v>
      </c>
      <c r="E7" s="76">
        <v>-13.704771216322449</v>
      </c>
      <c r="F7" s="76">
        <v>-13.934699999999999</v>
      </c>
      <c r="G7" s="76">
        <v>0.28717355328666527</v>
      </c>
      <c r="H7" s="83">
        <v>-13.704771216322449</v>
      </c>
      <c r="I7" s="83">
        <v>-13.65</v>
      </c>
      <c r="J7" s="83">
        <v>6.8407463204808991E-2</v>
      </c>
      <c r="K7" s="89">
        <v>-13.704771216322449</v>
      </c>
      <c r="L7" s="89">
        <v>-13.65</v>
      </c>
      <c r="M7" s="89">
        <v>6.8407463204808991E-2</v>
      </c>
      <c r="N7" s="86">
        <v>-13.704771216322449</v>
      </c>
      <c r="O7" s="86">
        <v>-13.65</v>
      </c>
      <c r="P7" s="86">
        <v>6.8407463204808991E-2</v>
      </c>
      <c r="Q7" s="73">
        <v>-13.704771216322449</v>
      </c>
      <c r="R7" s="73">
        <v>-13.65</v>
      </c>
      <c r="S7" s="73">
        <v>6.8407463204808991E-2</v>
      </c>
    </row>
    <row r="8" spans="2:19" x14ac:dyDescent="0.25">
      <c r="B8" s="70">
        <v>-10.053035803806043</v>
      </c>
      <c r="C8" s="70">
        <v>-7.4550000000000001</v>
      </c>
      <c r="D8" s="70">
        <v>2.9435896565135802</v>
      </c>
      <c r="E8" s="76">
        <v>-10.053035803806043</v>
      </c>
      <c r="F8" s="76">
        <v>-7.4137000000000004</v>
      </c>
      <c r="G8" s="76">
        <v>2.9903827964063754</v>
      </c>
      <c r="H8" s="83">
        <v>-10.053035803806043</v>
      </c>
      <c r="I8" s="83">
        <v>-7.8532999999999999</v>
      </c>
      <c r="J8" s="83">
        <v>2.4923134429711076</v>
      </c>
      <c r="K8" s="89">
        <v>-10.053035803806043</v>
      </c>
      <c r="L8" s="89">
        <v>-7.8513999999999999</v>
      </c>
      <c r="M8" s="89">
        <v>2.4944661540073425</v>
      </c>
      <c r="N8" s="86">
        <v>-10.053035803806043</v>
      </c>
      <c r="O8" s="86">
        <v>-7.8532999999999999</v>
      </c>
      <c r="P8" s="86">
        <v>2.4923134429711076</v>
      </c>
      <c r="Q8" s="73">
        <v>-10.053035803806043</v>
      </c>
      <c r="R8" s="73">
        <v>-7.8529</v>
      </c>
      <c r="S8" s="73">
        <v>2.4927666452945174</v>
      </c>
    </row>
    <row r="9" spans="2:19" x14ac:dyDescent="0.25">
      <c r="B9" s="70">
        <v>-11.667396906310753</v>
      </c>
      <c r="C9" s="70">
        <v>-8.3452999999999999</v>
      </c>
      <c r="D9" s="70">
        <v>3.9636401254526707</v>
      </c>
      <c r="E9" s="76">
        <v>-11.667396906310753</v>
      </c>
      <c r="F9" s="76">
        <v>-9.0345999999999993</v>
      </c>
      <c r="G9" s="76">
        <v>3.1412266873363799</v>
      </c>
      <c r="H9" s="83">
        <v>-11.667396906310753</v>
      </c>
      <c r="I9" s="83">
        <v>-9.2979000000000003</v>
      </c>
      <c r="J9" s="83">
        <v>2.8270797872115843</v>
      </c>
      <c r="K9" s="89">
        <v>-11.667396906310753</v>
      </c>
      <c r="L9" s="89">
        <v>-9.2942</v>
      </c>
      <c r="M9" s="89">
        <v>2.831494308785699</v>
      </c>
      <c r="N9" s="86">
        <v>-11.667396906310753</v>
      </c>
      <c r="O9" s="86">
        <v>-9.3543000000000003</v>
      </c>
      <c r="P9" s="86">
        <v>2.7597881610549568</v>
      </c>
      <c r="Q9" s="73">
        <v>-11.667396906310753</v>
      </c>
      <c r="R9" s="73">
        <v>-9.3459000000000003</v>
      </c>
      <c r="S9" s="73">
        <v>2.7698103181421163</v>
      </c>
    </row>
    <row r="10" spans="2:19" x14ac:dyDescent="0.25">
      <c r="B10" s="70">
        <v>-3.7583994625957722</v>
      </c>
      <c r="C10" s="70">
        <v>-10.2067</v>
      </c>
      <c r="D10" s="70">
        <v>6.8522082736049192</v>
      </c>
      <c r="E10" s="76">
        <v>-3.7583994625957722</v>
      </c>
      <c r="F10" s="76">
        <v>-10.3849</v>
      </c>
      <c r="G10" s="76">
        <v>7.0415703399778335</v>
      </c>
      <c r="H10" s="83">
        <v>-3.7583994625957722</v>
      </c>
      <c r="I10" s="83">
        <v>-9.15</v>
      </c>
      <c r="J10" s="83">
        <v>5.7293188485978996</v>
      </c>
      <c r="K10" s="89">
        <v>-3.7583994625957722</v>
      </c>
      <c r="L10" s="89">
        <v>-9.15</v>
      </c>
      <c r="M10" s="89">
        <v>5.7293188485978996</v>
      </c>
      <c r="N10" s="86">
        <v>-3.7583994625957722</v>
      </c>
      <c r="O10" s="86">
        <v>-9.15</v>
      </c>
      <c r="P10" s="86">
        <v>5.7293188485978996</v>
      </c>
      <c r="Q10" s="73">
        <v>-3.7583994625957722</v>
      </c>
      <c r="R10" s="73">
        <v>-9.15</v>
      </c>
      <c r="S10" s="73">
        <v>5.7293188485978996</v>
      </c>
    </row>
    <row r="11" spans="2:19" x14ac:dyDescent="0.25">
      <c r="B11" s="70">
        <v>-15.60298592672655</v>
      </c>
      <c r="C11" s="70">
        <v>-14.015700000000001</v>
      </c>
      <c r="D11" s="70">
        <v>1.9881887015481918</v>
      </c>
      <c r="E11" s="76">
        <v>-15.60298592672655</v>
      </c>
      <c r="F11" s="76">
        <v>-14.204000000000001</v>
      </c>
      <c r="G11" s="76">
        <v>1.7523295370474239</v>
      </c>
      <c r="H11" s="83">
        <v>-15.60298592672655</v>
      </c>
      <c r="I11" s="83">
        <v>-14.2387</v>
      </c>
      <c r="J11" s="83">
        <v>1.7088653150178343</v>
      </c>
      <c r="K11" s="89">
        <v>-15.60298592672655</v>
      </c>
      <c r="L11" s="89">
        <v>-14.1996</v>
      </c>
      <c r="M11" s="89">
        <v>1.7578408505036454</v>
      </c>
      <c r="N11" s="86">
        <v>-15.60298592672655</v>
      </c>
      <c r="O11" s="86">
        <v>-14.241300000000001</v>
      </c>
      <c r="P11" s="86">
        <v>1.7056086297936999</v>
      </c>
      <c r="Q11" s="73">
        <v>-15.60298592672655</v>
      </c>
      <c r="R11" s="73">
        <v>-14.2136</v>
      </c>
      <c r="S11" s="73">
        <v>1.7403048531429943</v>
      </c>
    </row>
    <row r="12" spans="2:19" x14ac:dyDescent="0.25">
      <c r="B12" s="70">
        <v>-1.5371636490252283</v>
      </c>
      <c r="C12" s="70">
        <v>-3</v>
      </c>
      <c r="D12" s="70">
        <v>1.5198954505118689</v>
      </c>
      <c r="E12" s="76">
        <v>-1.5371636490252283</v>
      </c>
      <c r="F12" s="76">
        <v>-3</v>
      </c>
      <c r="G12" s="76">
        <v>1.5198954505118689</v>
      </c>
      <c r="H12" s="83">
        <v>-1.5371636490252283</v>
      </c>
      <c r="I12" s="83">
        <v>-2.9333</v>
      </c>
      <c r="J12" s="83">
        <v>1.4505937637704871</v>
      </c>
      <c r="K12" s="89">
        <v>-1.5371636490252283</v>
      </c>
      <c r="L12" s="89">
        <v>-2.9209999999999998</v>
      </c>
      <c r="M12" s="89">
        <v>1.4378139924523807</v>
      </c>
      <c r="N12" s="86">
        <v>-1.5371636490252283</v>
      </c>
      <c r="O12" s="86">
        <v>-2.9607999999999999</v>
      </c>
      <c r="P12" s="86">
        <v>1.4791664232215815</v>
      </c>
      <c r="Q12" s="73">
        <v>-1.5371636490252283</v>
      </c>
      <c r="R12" s="73">
        <v>-2.8948999999999998</v>
      </c>
      <c r="S12" s="73">
        <v>1.4106959411188005</v>
      </c>
    </row>
    <row r="13" spans="2:19" x14ac:dyDescent="0.25">
      <c r="B13" s="70">
        <v>-9.4613272688321093</v>
      </c>
      <c r="C13" s="70">
        <v>-8.7813999999999997</v>
      </c>
      <c r="D13" s="70">
        <v>0.82482910328648218</v>
      </c>
      <c r="E13" s="76">
        <v>-9.4613272688321093</v>
      </c>
      <c r="F13" s="76">
        <v>-8.8744999999999994</v>
      </c>
      <c r="G13" s="76">
        <v>0.71188821528846347</v>
      </c>
      <c r="H13" s="83">
        <v>-9.4613272688321093</v>
      </c>
      <c r="I13" s="83">
        <v>-8.9575999999999993</v>
      </c>
      <c r="J13" s="83">
        <v>0.61107846456196868</v>
      </c>
      <c r="K13" s="89">
        <v>-9.4613272688321093</v>
      </c>
      <c r="L13" s="89">
        <v>-8.9465000000000003</v>
      </c>
      <c r="M13" s="89">
        <v>0.62454402693336875</v>
      </c>
      <c r="N13" s="86">
        <v>-9.4613272688321093</v>
      </c>
      <c r="O13" s="86">
        <v>-8.9596999999999998</v>
      </c>
      <c r="P13" s="86">
        <v>0.60853092573495315</v>
      </c>
      <c r="Q13" s="73">
        <v>-9.4613272688321093</v>
      </c>
      <c r="R13" s="73">
        <v>-8.9578000000000007</v>
      </c>
      <c r="S13" s="73">
        <v>0.61083584181654405</v>
      </c>
    </row>
    <row r="14" spans="2:19" x14ac:dyDescent="0.25">
      <c r="B14" s="70">
        <v>-6.7784571089971246</v>
      </c>
      <c r="C14" s="70">
        <v>-7.5357000000000003</v>
      </c>
      <c r="D14" s="70">
        <v>0.87386048373181324</v>
      </c>
      <c r="E14" s="76">
        <v>-6.7784571089971246</v>
      </c>
      <c r="F14" s="76">
        <v>-7.0827999999999998</v>
      </c>
      <c r="G14" s="76">
        <v>0.35121257539954154</v>
      </c>
      <c r="H14" s="83">
        <v>-6.7784571089971246</v>
      </c>
      <c r="I14" s="83">
        <v>-6.9804000000000004</v>
      </c>
      <c r="J14" s="83">
        <v>0.23304267958760916</v>
      </c>
      <c r="K14" s="89">
        <v>-6.7784571089971246</v>
      </c>
      <c r="L14" s="89">
        <v>-6.9466000000000001</v>
      </c>
      <c r="M14" s="89">
        <v>0.19403738194654432</v>
      </c>
      <c r="N14" s="86">
        <v>-6.7784571089971246</v>
      </c>
      <c r="O14" s="86">
        <v>-6.9622999999999999</v>
      </c>
      <c r="P14" s="86">
        <v>0.21215522730053488</v>
      </c>
      <c r="Q14" s="73">
        <v>-6.7784571089971246</v>
      </c>
      <c r="R14" s="73">
        <v>-6.9363999999999999</v>
      </c>
      <c r="S14" s="73">
        <v>0.18226655248091633</v>
      </c>
    </row>
    <row r="15" spans="2:19" x14ac:dyDescent="0.25">
      <c r="B15" s="70">
        <v>-13.272881311933039</v>
      </c>
      <c r="C15" s="70">
        <v>-9.8388000000000009</v>
      </c>
      <c r="D15" s="70">
        <v>4.4057879326275691</v>
      </c>
      <c r="E15" s="76">
        <v>-13.272881311933039</v>
      </c>
      <c r="F15" s="76">
        <v>-10.4534</v>
      </c>
      <c r="G15" s="76">
        <v>3.6172809004895612</v>
      </c>
      <c r="H15" s="83">
        <v>-13.272881311933039</v>
      </c>
      <c r="I15" s="83">
        <v>-10.521000000000001</v>
      </c>
      <c r="J15" s="83">
        <v>3.5305528247125859</v>
      </c>
      <c r="K15" s="89">
        <v>-13.272881311933039</v>
      </c>
      <c r="L15" s="89">
        <v>-10.556800000000001</v>
      </c>
      <c r="M15" s="89">
        <v>3.4846228674224133</v>
      </c>
      <c r="N15" s="86">
        <v>-13.272881311933039</v>
      </c>
      <c r="O15" s="86">
        <v>-10.591699999999999</v>
      </c>
      <c r="P15" s="86">
        <v>3.4398475738630121</v>
      </c>
      <c r="Q15" s="73">
        <v>-13.272881311933039</v>
      </c>
      <c r="R15" s="73">
        <v>-10.5825</v>
      </c>
      <c r="S15" s="73">
        <v>3.4516508031107596</v>
      </c>
    </row>
    <row r="16" spans="2:19" x14ac:dyDescent="0.25">
      <c r="B16" s="70">
        <v>-9.644728439746526</v>
      </c>
      <c r="C16" s="70">
        <v>-9</v>
      </c>
      <c r="D16" s="70">
        <v>0.72757498831765688</v>
      </c>
      <c r="E16" s="76">
        <v>-9.644728439746526</v>
      </c>
      <c r="F16" s="76">
        <v>-9</v>
      </c>
      <c r="G16" s="76">
        <v>0.72757498831765688</v>
      </c>
      <c r="H16" s="83">
        <v>-9.644728439746526</v>
      </c>
      <c r="I16" s="83">
        <v>-9.0707000000000004</v>
      </c>
      <c r="J16" s="83">
        <v>0.64779015411013341</v>
      </c>
      <c r="K16" s="89">
        <v>-9.644728439746526</v>
      </c>
      <c r="L16" s="89">
        <v>-9.0450999999999997</v>
      </c>
      <c r="M16" s="89">
        <v>0.67667971218243728</v>
      </c>
      <c r="N16" s="86">
        <v>-9.644728439746526</v>
      </c>
      <c r="O16" s="86">
        <v>-9.0708000000000002</v>
      </c>
      <c r="P16" s="86">
        <v>0.64767730427390013</v>
      </c>
      <c r="Q16" s="73">
        <v>-9.644728439746526</v>
      </c>
      <c r="R16" s="73">
        <v>-9.0695999999999994</v>
      </c>
      <c r="S16" s="73">
        <v>0.64903150230854068</v>
      </c>
    </row>
    <row r="17" spans="2:19" x14ac:dyDescent="0.25">
      <c r="B17" s="70">
        <v>-11.306996025795833</v>
      </c>
      <c r="C17" s="70">
        <v>-12</v>
      </c>
      <c r="D17" s="70">
        <v>0.90246272061920174</v>
      </c>
      <c r="E17" s="76">
        <v>-11.306996025795833</v>
      </c>
      <c r="F17" s="76">
        <v>-12</v>
      </c>
      <c r="G17" s="76">
        <v>0.90246272061920174</v>
      </c>
      <c r="H17" s="83">
        <v>-11.306996025795833</v>
      </c>
      <c r="I17" s="83">
        <v>-11.963100000000001</v>
      </c>
      <c r="J17" s="83">
        <v>0.85440978639312704</v>
      </c>
      <c r="K17" s="89">
        <v>-11.306996025795833</v>
      </c>
      <c r="L17" s="89">
        <v>-11.9604</v>
      </c>
      <c r="M17" s="89">
        <v>0.85089371803511904</v>
      </c>
      <c r="N17" s="86">
        <v>-11.306996025795833</v>
      </c>
      <c r="O17" s="86">
        <v>-11.984400000000001</v>
      </c>
      <c r="P17" s="86">
        <v>0.88214765899516689</v>
      </c>
      <c r="Q17" s="73">
        <v>-11.306996025795833</v>
      </c>
      <c r="R17" s="73">
        <v>-11.9879</v>
      </c>
      <c r="S17" s="73">
        <v>0.88670552538517544</v>
      </c>
    </row>
    <row r="18" spans="2:19" x14ac:dyDescent="0.25">
      <c r="B18" s="70">
        <v>-15.889039480123463</v>
      </c>
      <c r="C18" s="70">
        <v>-8.5731000000000002</v>
      </c>
      <c r="D18" s="70">
        <v>8.9969957613654969</v>
      </c>
      <c r="E18" s="76">
        <v>-15.889039480123463</v>
      </c>
      <c r="F18" s="76">
        <v>-9.3435000000000006</v>
      </c>
      <c r="G18" s="76">
        <v>8.0495732801670883</v>
      </c>
      <c r="H18" s="83">
        <v>-15.889039480123463</v>
      </c>
      <c r="I18" s="83">
        <v>-9.4200999999999997</v>
      </c>
      <c r="J18" s="83">
        <v>7.955372135229652</v>
      </c>
      <c r="K18" s="89">
        <v>-15.889039480123463</v>
      </c>
      <c r="L18" s="89">
        <v>-9.4863</v>
      </c>
      <c r="M18" s="89">
        <v>7.8739607018764213</v>
      </c>
      <c r="N18" s="86">
        <v>-15.889039480123463</v>
      </c>
      <c r="O18" s="86">
        <v>-9.4122000000000003</v>
      </c>
      <c r="P18" s="86">
        <v>7.9650873969137992</v>
      </c>
      <c r="Q18" s="73">
        <v>-15.889039480123463</v>
      </c>
      <c r="R18" s="73">
        <v>-9.4720999999999993</v>
      </c>
      <c r="S18" s="73">
        <v>7.891423577308684</v>
      </c>
    </row>
    <row r="19" spans="2:19" x14ac:dyDescent="0.25">
      <c r="B19" s="71" t="s">
        <v>96</v>
      </c>
      <c r="C19" s="71"/>
      <c r="D19" s="72">
        <v>2.5559062887969142</v>
      </c>
      <c r="E19" s="77" t="s">
        <v>96</v>
      </c>
      <c r="F19" s="77"/>
      <c r="G19" s="78">
        <v>2.3685675190405187</v>
      </c>
      <c r="H19" s="84" t="s">
        <v>96</v>
      </c>
      <c r="I19" s="84"/>
      <c r="J19" s="85">
        <v>2.1533435372700986</v>
      </c>
      <c r="K19" s="90" t="s">
        <v>96</v>
      </c>
      <c r="L19" s="90"/>
      <c r="M19" s="91">
        <v>2.1510696046565343</v>
      </c>
      <c r="N19" s="87" t="s">
        <v>96</v>
      </c>
      <c r="O19" s="87"/>
      <c r="P19" s="88">
        <v>2.1459560637221995</v>
      </c>
      <c r="Q19" s="74" t="s">
        <v>96</v>
      </c>
      <c r="R19" s="74"/>
      <c r="S19" s="75">
        <v>2.143013129725714</v>
      </c>
    </row>
    <row r="20" spans="2:19" x14ac:dyDescent="0.25">
      <c r="B20" s="71" t="s">
        <v>198</v>
      </c>
      <c r="C20" s="71"/>
      <c r="D20" s="72">
        <v>3.6052983714996576</v>
      </c>
      <c r="E20" s="77" t="s">
        <v>198</v>
      </c>
      <c r="F20" s="77"/>
      <c r="G20" s="78">
        <v>3.3371455785636113</v>
      </c>
      <c r="H20" s="84" t="s">
        <v>198</v>
      </c>
      <c r="I20" s="84"/>
      <c r="J20" s="85"/>
      <c r="K20" s="90" t="s">
        <v>198</v>
      </c>
      <c r="L20" s="90"/>
      <c r="M20" s="91"/>
      <c r="N20" s="87" t="s">
        <v>198</v>
      </c>
      <c r="O20" s="87"/>
      <c r="P20" s="88"/>
      <c r="Q20" s="74" t="s">
        <v>198</v>
      </c>
      <c r="R20" s="74"/>
      <c r="S20" s="75"/>
    </row>
    <row r="21" spans="2:19" x14ac:dyDescent="0.25">
      <c r="B21" s="71" t="s">
        <v>200</v>
      </c>
      <c r="C21" s="71"/>
      <c r="D21" s="72">
        <v>2.555906288796914E-2</v>
      </c>
      <c r="E21" s="77" t="s">
        <v>200</v>
      </c>
      <c r="F21" s="77"/>
      <c r="G21" s="78">
        <v>2.3685675190405191E-2</v>
      </c>
      <c r="H21" s="84" t="s">
        <v>200</v>
      </c>
      <c r="I21" s="84"/>
      <c r="J21" s="85"/>
      <c r="K21" s="90" t="s">
        <v>200</v>
      </c>
      <c r="L21" s="90"/>
      <c r="M21" s="91"/>
      <c r="N21" s="87" t="s">
        <v>200</v>
      </c>
      <c r="O21" s="87"/>
      <c r="P21" s="88"/>
      <c r="Q21" s="74" t="s">
        <v>200</v>
      </c>
      <c r="R21" s="74"/>
      <c r="S21" s="75"/>
    </row>
    <row r="22" spans="2:19" x14ac:dyDescent="0.25">
      <c r="B22" s="71" t="s">
        <v>199</v>
      </c>
      <c r="C22" s="71"/>
      <c r="D22" s="72">
        <v>0.83337865853846338</v>
      </c>
      <c r="E22" s="77" t="s">
        <v>199</v>
      </c>
      <c r="F22" s="77"/>
      <c r="G22" s="78"/>
      <c r="H22" s="84" t="s">
        <v>199</v>
      </c>
      <c r="I22" s="84"/>
      <c r="J22" s="85"/>
      <c r="K22" s="90" t="s">
        <v>199</v>
      </c>
      <c r="L22" s="90"/>
      <c r="M22" s="91"/>
      <c r="N22" s="87" t="s">
        <v>199</v>
      </c>
      <c r="O22" s="87"/>
      <c r="P22" s="88"/>
      <c r="Q22" s="74" t="s">
        <v>199</v>
      </c>
      <c r="R22" s="74"/>
      <c r="S22" s="75"/>
    </row>
  </sheetData>
  <mergeCells count="31">
    <mergeCell ref="N3:P3"/>
    <mergeCell ref="Q3:S3"/>
    <mergeCell ref="B1:S1"/>
    <mergeCell ref="N20:O20"/>
    <mergeCell ref="N21:O21"/>
    <mergeCell ref="N22:O22"/>
    <mergeCell ref="Q20:R20"/>
    <mergeCell ref="Q21:R21"/>
    <mergeCell ref="Q22:R22"/>
    <mergeCell ref="H20:I20"/>
    <mergeCell ref="H21:I21"/>
    <mergeCell ref="H22:I22"/>
    <mergeCell ref="K20:L20"/>
    <mergeCell ref="K21:L21"/>
    <mergeCell ref="K22:L22"/>
    <mergeCell ref="B20:C20"/>
    <mergeCell ref="B21:C21"/>
    <mergeCell ref="B22:C22"/>
    <mergeCell ref="E20:F20"/>
    <mergeCell ref="E21:F21"/>
    <mergeCell ref="E22:F22"/>
    <mergeCell ref="B19:C19"/>
    <mergeCell ref="E19:F19"/>
    <mergeCell ref="H19:I19"/>
    <mergeCell ref="K19:L19"/>
    <mergeCell ref="N19:O19"/>
    <mergeCell ref="Q19:R19"/>
    <mergeCell ref="B3:D3"/>
    <mergeCell ref="E3:G3"/>
    <mergeCell ref="H3:J3"/>
    <mergeCell ref="K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148"/>
  <sheetViews>
    <sheetView topLeftCell="D90" zoomScale="70" zoomScaleNormal="70" workbookViewId="0">
      <selection activeCell="Q116" sqref="Q116"/>
    </sheetView>
  </sheetViews>
  <sheetFormatPr defaultRowHeight="15" x14ac:dyDescent="0.25"/>
  <cols>
    <col min="1" max="1" width="12" customWidth="1"/>
    <col min="2" max="2" width="31.42578125" customWidth="1"/>
    <col min="3" max="3" width="22.140625" customWidth="1"/>
    <col min="4" max="4" width="15" customWidth="1"/>
    <col min="5" max="5" width="17.28515625" customWidth="1"/>
    <col min="6" max="6" width="15.42578125" customWidth="1"/>
    <col min="7" max="8" width="15.85546875" customWidth="1"/>
    <col min="9" max="9" width="15.5703125" customWidth="1"/>
    <col min="10" max="10" width="11.85546875" customWidth="1"/>
    <col min="11" max="11" width="12.140625" customWidth="1"/>
    <col min="12" max="12" width="12.7109375" customWidth="1"/>
    <col min="13" max="13" width="14.28515625" customWidth="1"/>
    <col min="14" max="14" width="12.85546875" customWidth="1"/>
    <col min="15" max="15" width="16.140625" customWidth="1"/>
    <col min="16" max="16" width="20.7109375" customWidth="1"/>
    <col min="17" max="17" width="11.5703125" customWidth="1"/>
    <col min="18" max="18" width="13.28515625" customWidth="1"/>
    <col min="19" max="19" width="13.7109375" customWidth="1"/>
    <col min="20" max="20" width="15.5703125" customWidth="1"/>
    <col min="21" max="21" width="14.7109375" customWidth="1"/>
    <col min="22" max="22" width="11.5703125" customWidth="1"/>
    <col min="23" max="23" width="14" customWidth="1"/>
  </cols>
  <sheetData>
    <row r="1" spans="1:22" x14ac:dyDescent="0.25">
      <c r="A1" s="19" t="s">
        <v>177</v>
      </c>
    </row>
    <row r="2" spans="1:22" x14ac:dyDescent="0.25">
      <c r="A2" s="19"/>
    </row>
    <row r="3" spans="1:22" x14ac:dyDescent="0.25">
      <c r="A3" s="29" t="s">
        <v>94</v>
      </c>
    </row>
    <row r="4" spans="1:22" ht="15.75" x14ac:dyDescent="0.25">
      <c r="A4" s="2" t="s">
        <v>0</v>
      </c>
      <c r="B4" s="2" t="s">
        <v>1</v>
      </c>
      <c r="C4" s="3" t="s">
        <v>9</v>
      </c>
      <c r="D4" s="53" t="s">
        <v>8</v>
      </c>
      <c r="E4" s="54"/>
      <c r="F4" s="54"/>
      <c r="G4" s="54"/>
      <c r="H4" s="54"/>
      <c r="I4" s="55" t="s">
        <v>59</v>
      </c>
      <c r="J4" s="55" t="s">
        <v>60</v>
      </c>
      <c r="K4" s="55" t="s">
        <v>62</v>
      </c>
      <c r="L4" s="55" t="s">
        <v>61</v>
      </c>
      <c r="M4" s="5" t="s">
        <v>10</v>
      </c>
      <c r="N4" s="4" t="s">
        <v>12</v>
      </c>
      <c r="O4" s="20" t="s">
        <v>13</v>
      </c>
      <c r="P4" s="6" t="s">
        <v>14</v>
      </c>
      <c r="Q4" s="5" t="s">
        <v>15</v>
      </c>
      <c r="R4" s="38"/>
      <c r="V4" t="s">
        <v>15</v>
      </c>
    </row>
    <row r="5" spans="1:22" ht="15.75" x14ac:dyDescent="0.25">
      <c r="A5" s="7"/>
      <c r="B5" s="7"/>
      <c r="C5" s="8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56"/>
      <c r="J5" s="56"/>
      <c r="K5" s="56"/>
      <c r="L5" s="56"/>
      <c r="M5" s="10" t="s">
        <v>11</v>
      </c>
      <c r="N5" s="11" t="s">
        <v>60</v>
      </c>
      <c r="O5" s="21" t="s">
        <v>166</v>
      </c>
      <c r="P5" s="12" t="s">
        <v>167</v>
      </c>
      <c r="Q5" s="10" t="s">
        <v>16</v>
      </c>
      <c r="V5" s="1"/>
    </row>
    <row r="6" spans="1:22" ht="15.75" x14ac:dyDescent="0.25">
      <c r="A6" s="2" t="s">
        <v>17</v>
      </c>
      <c r="B6" s="1" t="s">
        <v>19</v>
      </c>
      <c r="C6" s="1" t="s">
        <v>178</v>
      </c>
      <c r="D6" s="51">
        <v>31962075.063999999</v>
      </c>
      <c r="E6" s="51">
        <v>31389832.191999998</v>
      </c>
      <c r="F6" s="51">
        <v>30887111.496000003</v>
      </c>
      <c r="G6" s="51">
        <v>27674658.719999999</v>
      </c>
      <c r="H6" s="51">
        <v>25001165.223999992</v>
      </c>
      <c r="I6" s="41">
        <f t="shared" ref="I6:I19" si="0">(D6+E6+F6+G6)/4</f>
        <v>30478419.368000001</v>
      </c>
      <c r="J6" s="1">
        <f>((H6-I6)/I6)*100</f>
        <v>-17.9709258471281</v>
      </c>
      <c r="K6" s="1">
        <f>('2020a'!J5+'2021a'!J5+'2022a'!J5+'2023a'!J6)/4</f>
        <v>-8.0090081078371149</v>
      </c>
      <c r="L6" s="1">
        <f>J6-K6</f>
        <v>-9.9619177392909855</v>
      </c>
      <c r="M6" s="66">
        <v>-6.8007</v>
      </c>
      <c r="N6" s="1">
        <f>M6+K6</f>
        <v>-14.809708107837114</v>
      </c>
      <c r="O6" s="41">
        <f>I6+((N6*I6)/100)</f>
        <v>25964654.423716709</v>
      </c>
      <c r="P6" s="41">
        <f>H6</f>
        <v>25001165.223999992</v>
      </c>
      <c r="Q6" s="1">
        <f>((O6-H6)/H6)*100</f>
        <v>3.8537771783205157</v>
      </c>
      <c r="V6">
        <f>(O6-P6)/P6</f>
        <v>3.8537771783205159E-2</v>
      </c>
    </row>
    <row r="7" spans="1:22" ht="15.75" x14ac:dyDescent="0.25">
      <c r="A7" s="7" t="s">
        <v>18</v>
      </c>
      <c r="B7" s="1" t="s">
        <v>20</v>
      </c>
      <c r="C7" s="1" t="s">
        <v>174</v>
      </c>
      <c r="D7" s="18">
        <v>27235140.030000001</v>
      </c>
      <c r="E7" s="18">
        <v>28261723.059999999</v>
      </c>
      <c r="F7" s="18">
        <v>29261317.649999999</v>
      </c>
      <c r="G7" s="18">
        <v>25243722.100000001</v>
      </c>
      <c r="H7" s="18">
        <v>24512817.800000001</v>
      </c>
      <c r="I7" s="41">
        <f t="shared" si="0"/>
        <v>27500475.710000001</v>
      </c>
      <c r="J7" s="1">
        <f>((H7-I7)/I7)*100</f>
        <v>-10.864022650028552</v>
      </c>
      <c r="K7" s="1">
        <f>('2020a'!J6+'2021a'!J6+'2022a'!J6+'2023a'!J7)/4</f>
        <v>-7.2588762167099778</v>
      </c>
      <c r="L7" s="1">
        <f t="shared" ref="L7:L19" si="1">J7-K7</f>
        <v>-3.6051464333185743</v>
      </c>
      <c r="M7" s="66">
        <v>-3</v>
      </c>
      <c r="N7" s="1">
        <f t="shared" ref="N7:N19" si="2">M7+K7</f>
        <v>-10.258876216709979</v>
      </c>
      <c r="O7" s="41">
        <f t="shared" ref="O7:O19" si="3">I7+((N7*I7)/100)</f>
        <v>24679235.947904706</v>
      </c>
      <c r="P7" s="41">
        <f t="shared" ref="P7:P19" si="4">H7</f>
        <v>24512817.800000001</v>
      </c>
      <c r="Q7" s="1">
        <f>((O7-H7)/H7)*100</f>
        <v>0.6789025613559011</v>
      </c>
      <c r="V7">
        <f t="shared" ref="V7:V19" si="5">(O7-P7)/P7</f>
        <v>6.7890256135590115E-3</v>
      </c>
    </row>
    <row r="8" spans="1:22" ht="15.75" x14ac:dyDescent="0.25">
      <c r="A8" s="2" t="s">
        <v>21</v>
      </c>
      <c r="B8" s="1" t="s">
        <v>23</v>
      </c>
      <c r="C8" s="1" t="s">
        <v>175</v>
      </c>
      <c r="D8" s="18">
        <v>31957263.199999999</v>
      </c>
      <c r="E8" s="18">
        <v>31021032.050000001</v>
      </c>
      <c r="F8" s="18">
        <v>30016114.25</v>
      </c>
      <c r="G8" s="18">
        <v>25024126.18</v>
      </c>
      <c r="H8" s="18">
        <v>24126175.350000001</v>
      </c>
      <c r="I8" s="41">
        <f t="shared" si="0"/>
        <v>29504633.920000002</v>
      </c>
      <c r="J8" s="1">
        <f t="shared" ref="J8:J19" si="6">((H8-I8)/I8)*100</f>
        <v>-18.229199469423545</v>
      </c>
      <c r="K8" s="1">
        <f>('2020a'!J7+'2021a'!J7+'2022a'!J7+'2023a'!J8)/4</f>
        <v>-9.6552800346627414</v>
      </c>
      <c r="L8" s="1">
        <f t="shared" si="1"/>
        <v>-8.5739194347608034</v>
      </c>
      <c r="M8" s="66">
        <v>-9</v>
      </c>
      <c r="N8" s="1">
        <f t="shared" si="2"/>
        <v>-18.655280034662741</v>
      </c>
      <c r="O8" s="41">
        <f t="shared" si="3"/>
        <v>24000461.83902191</v>
      </c>
      <c r="P8" s="41">
        <f t="shared" si="4"/>
        <v>24126175.350000001</v>
      </c>
      <c r="Q8" s="1">
        <f>-((O8-H8)/H8)*100</f>
        <v>0.52106688753752883</v>
      </c>
      <c r="V8">
        <f t="shared" si="5"/>
        <v>-5.2106688753752878E-3</v>
      </c>
    </row>
    <row r="9" spans="1:22" ht="15.75" x14ac:dyDescent="0.25">
      <c r="A9" s="13" t="s">
        <v>22</v>
      </c>
      <c r="B9" s="1" t="s">
        <v>82</v>
      </c>
      <c r="C9" s="1" t="s">
        <v>176</v>
      </c>
      <c r="D9" s="18">
        <v>30050152.559999999</v>
      </c>
      <c r="E9" s="18">
        <v>26598716.23</v>
      </c>
      <c r="F9" s="18">
        <v>26845795.579999998</v>
      </c>
      <c r="G9" s="18">
        <v>27003129.120000001</v>
      </c>
      <c r="H9" s="18">
        <v>25429718.52</v>
      </c>
      <c r="I9" s="41">
        <f t="shared" si="0"/>
        <v>27624448.372500002</v>
      </c>
      <c r="J9" s="1">
        <f t="shared" si="6"/>
        <v>-7.9448820946768484</v>
      </c>
      <c r="K9" s="1">
        <f>('2020a'!J8+'2021a'!J8+'2022a'!J8+'2023a'!J9)/4</f>
        <v>-4.1994223233244732</v>
      </c>
      <c r="L9" s="1">
        <f t="shared" si="1"/>
        <v>-3.7454597713523752</v>
      </c>
      <c r="M9" s="66">
        <v>-3</v>
      </c>
      <c r="N9" s="1">
        <f t="shared" si="2"/>
        <v>-7.1994223233244732</v>
      </c>
      <c r="O9" s="41">
        <f t="shared" si="3"/>
        <v>25635647.669674993</v>
      </c>
      <c r="P9" s="41">
        <f t="shared" si="4"/>
        <v>25429718.52</v>
      </c>
      <c r="Q9" s="1">
        <f>((O9-H9)/H9)*100</f>
        <v>0.80979720445208059</v>
      </c>
      <c r="V9">
        <f t="shared" si="5"/>
        <v>8.0979720445208056E-3</v>
      </c>
    </row>
    <row r="10" spans="1:22" ht="15.75" x14ac:dyDescent="0.25">
      <c r="A10" s="13"/>
      <c r="B10" s="1" t="s">
        <v>25</v>
      </c>
      <c r="C10" s="1" t="s">
        <v>179</v>
      </c>
      <c r="D10" s="18">
        <v>30101526.079999998</v>
      </c>
      <c r="E10" s="18">
        <v>28313128.739999998</v>
      </c>
      <c r="F10" s="18">
        <v>28015138.359999999</v>
      </c>
      <c r="G10" s="18">
        <v>24826248.280000001</v>
      </c>
      <c r="H10" s="18">
        <v>24516278.84</v>
      </c>
      <c r="I10" s="41">
        <f t="shared" si="0"/>
        <v>27814010.364999998</v>
      </c>
      <c r="J10" s="1">
        <f t="shared" si="6"/>
        <v>-11.856368361571217</v>
      </c>
      <c r="K10" s="1">
        <f>('2020a'!J9+'2021a'!J9+'2022a'!J9+'2023a'!J10)/4</f>
        <v>-7.4351603774193862</v>
      </c>
      <c r="L10" s="1">
        <f t="shared" si="1"/>
        <v>-4.421207984151831</v>
      </c>
      <c r="M10" s="65">
        <v>-6.4093999999999998</v>
      </c>
      <c r="N10" s="1">
        <f t="shared" si="2"/>
        <v>-13.844560377419386</v>
      </c>
      <c r="O10" s="41">
        <f t="shared" si="3"/>
        <v>23963282.906635888</v>
      </c>
      <c r="P10" s="41">
        <f t="shared" si="4"/>
        <v>24516278.84</v>
      </c>
      <c r="Q10" s="1">
        <f>-((O10-H10)/H10)*100</f>
        <v>2.2556275239530272</v>
      </c>
      <c r="V10">
        <f t="shared" si="5"/>
        <v>-2.2556275239530271E-2</v>
      </c>
    </row>
    <row r="11" spans="1:22" ht="15.75" x14ac:dyDescent="0.25">
      <c r="A11" s="13"/>
      <c r="B11" s="1" t="s">
        <v>26</v>
      </c>
      <c r="C11" s="1" t="s">
        <v>181</v>
      </c>
      <c r="D11" s="51">
        <v>22303982.776000001</v>
      </c>
      <c r="E11" s="51">
        <v>29489179.431999993</v>
      </c>
      <c r="F11" s="51">
        <v>31781409.335999999</v>
      </c>
      <c r="G11" s="51">
        <v>29018456.952000003</v>
      </c>
      <c r="H11" s="51">
        <v>23904977.280000001</v>
      </c>
      <c r="I11" s="41">
        <f t="shared" si="0"/>
        <v>28148257.123999998</v>
      </c>
      <c r="J11" s="1">
        <f t="shared" si="6"/>
        <v>-15.074751610045714</v>
      </c>
      <c r="K11" s="1">
        <f>('2020a'!J10+'2021a'!J10+'2022a'!J10+'2023a'!J11)/4</f>
        <v>-3.0757634413158739</v>
      </c>
      <c r="L11" s="1">
        <f t="shared" si="1"/>
        <v>-11.998988168729841</v>
      </c>
      <c r="M11" s="66">
        <v>-12</v>
      </c>
      <c r="N11" s="1">
        <f t="shared" si="2"/>
        <v>-15.075763441315875</v>
      </c>
      <c r="O11" s="41">
        <f t="shared" si="3"/>
        <v>23904692.467132416</v>
      </c>
      <c r="P11" s="41">
        <f t="shared" si="4"/>
        <v>23904977.280000001</v>
      </c>
      <c r="Q11" s="1">
        <f>((O11-H11)/H11)*100*-1</f>
        <v>1.1914375163362197E-3</v>
      </c>
      <c r="V11">
        <f t="shared" si="5"/>
        <v>-1.1914375163362197E-5</v>
      </c>
    </row>
    <row r="12" spans="1:22" ht="15.75" x14ac:dyDescent="0.25">
      <c r="A12" s="13"/>
      <c r="B12" s="1" t="s">
        <v>35</v>
      </c>
      <c r="C12" s="1" t="s">
        <v>180</v>
      </c>
      <c r="D12" s="51">
        <v>28929860.432</v>
      </c>
      <c r="E12" s="51">
        <v>23254492.015999991</v>
      </c>
      <c r="F12" s="51">
        <v>25535227.792000003</v>
      </c>
      <c r="G12" s="51">
        <v>22107167.400000002</v>
      </c>
      <c r="H12" s="51">
        <v>20221836.344000001</v>
      </c>
      <c r="I12" s="41">
        <f t="shared" si="0"/>
        <v>24956686.91</v>
      </c>
      <c r="J12" s="1">
        <f t="shared" si="6"/>
        <v>-18.972272173285841</v>
      </c>
      <c r="K12" s="1">
        <f>('2020a'!J11+'2021a'!J11+'2022a'!J11+'2023a'!J12)/4</f>
        <v>-8.4619821154868404</v>
      </c>
      <c r="L12" s="1">
        <f t="shared" si="1"/>
        <v>-10.510290057799001</v>
      </c>
      <c r="M12" s="66">
        <v>-12</v>
      </c>
      <c r="N12" s="1">
        <f t="shared" si="2"/>
        <v>-20.46198211548684</v>
      </c>
      <c r="O12" s="41">
        <f t="shared" si="3"/>
        <v>19850054.097857755</v>
      </c>
      <c r="P12" s="41">
        <f t="shared" si="4"/>
        <v>20221836.344000001</v>
      </c>
      <c r="Q12" s="1">
        <f>-((O12-H12)/H12)*100</f>
        <v>1.8385187171814736</v>
      </c>
      <c r="T12" t="s">
        <v>201</v>
      </c>
      <c r="V12">
        <f t="shared" si="5"/>
        <v>-1.8385187171814737E-2</v>
      </c>
    </row>
    <row r="13" spans="1:22" ht="15.75" x14ac:dyDescent="0.25">
      <c r="A13" s="13"/>
      <c r="B13" s="1" t="s">
        <v>36</v>
      </c>
      <c r="C13" s="1" t="s">
        <v>182</v>
      </c>
      <c r="D13" s="51">
        <v>23254492.015999991</v>
      </c>
      <c r="E13" s="51">
        <v>25535227.792000003</v>
      </c>
      <c r="F13" s="51">
        <v>22107167.400000002</v>
      </c>
      <c r="G13" s="51">
        <v>20221836.344000001</v>
      </c>
      <c r="H13" s="51">
        <v>20717922.855999995</v>
      </c>
      <c r="I13" s="41">
        <f t="shared" si="0"/>
        <v>22779680.888</v>
      </c>
      <c r="J13" s="1">
        <f t="shared" si="6"/>
        <v>-9.0508644178861566</v>
      </c>
      <c r="K13" s="1">
        <f>('2020a'!J12+'2021a'!J12+'2022a'!J12+'2023a'!J13)/4</f>
        <v>-2.6012736104602441</v>
      </c>
      <c r="L13" s="1">
        <f t="shared" si="1"/>
        <v>-6.4495908074259125</v>
      </c>
      <c r="M13" s="66">
        <v>-6</v>
      </c>
      <c r="N13" s="1">
        <f t="shared" si="2"/>
        <v>-8.6012736104602432</v>
      </c>
      <c r="O13" s="41">
        <f t="shared" si="3"/>
        <v>20820338.207233399</v>
      </c>
      <c r="P13" s="41">
        <f t="shared" si="4"/>
        <v>20717922.855999995</v>
      </c>
      <c r="Q13" s="1">
        <f>((O13-H13)/H13)*100</f>
        <v>0.49433213911086765</v>
      </c>
      <c r="T13" t="s">
        <v>202</v>
      </c>
      <c r="V13">
        <f t="shared" si="5"/>
        <v>4.9433213911086763E-3</v>
      </c>
    </row>
    <row r="14" spans="1:22" ht="15.75" x14ac:dyDescent="0.25">
      <c r="A14" s="2" t="s">
        <v>21</v>
      </c>
      <c r="B14" s="1" t="s">
        <v>56</v>
      </c>
      <c r="C14" s="1" t="s">
        <v>183</v>
      </c>
      <c r="D14" s="51">
        <v>33264636.728000011</v>
      </c>
      <c r="E14" s="51">
        <v>31685393.768160004</v>
      </c>
      <c r="F14" s="51">
        <v>32736842.800000008</v>
      </c>
      <c r="G14" s="51">
        <v>31201639.880000003</v>
      </c>
      <c r="H14" s="51">
        <v>25986091.631999992</v>
      </c>
      <c r="I14" s="41">
        <f t="shared" si="0"/>
        <v>32222128.294040009</v>
      </c>
      <c r="J14" s="1">
        <f t="shared" si="6"/>
        <v>-19.353273642056323</v>
      </c>
      <c r="K14" s="1">
        <f>('2020a'!J13+'2021a'!J13+'2022a'!J13+'2023a'!J14)/4</f>
        <v>-10.471502333919931</v>
      </c>
      <c r="L14" s="1">
        <f t="shared" si="1"/>
        <v>-8.8817713081363916</v>
      </c>
      <c r="M14" s="66">
        <v>-9.4260000000000002</v>
      </c>
      <c r="N14" s="1">
        <f t="shared" si="2"/>
        <v>-19.897502333919931</v>
      </c>
      <c r="O14" s="41">
        <f t="shared" si="3"/>
        <v>25810729.564694725</v>
      </c>
      <c r="P14" s="41">
        <f t="shared" si="4"/>
        <v>25986091.631999992</v>
      </c>
      <c r="Q14" s="1">
        <f>-((O14-H14)/H14)*100</f>
        <v>0.6748304815846996</v>
      </c>
      <c r="V14">
        <f t="shared" si="5"/>
        <v>-6.748304815846996E-3</v>
      </c>
    </row>
    <row r="15" spans="1:22" ht="15.75" x14ac:dyDescent="0.25">
      <c r="A15" s="13" t="s">
        <v>27</v>
      </c>
      <c r="B15" s="1" t="s">
        <v>57</v>
      </c>
      <c r="C15" s="1" t="s">
        <v>184</v>
      </c>
      <c r="D15" s="18">
        <v>28258348.390000001</v>
      </c>
      <c r="E15" s="18">
        <v>30515258.920000002</v>
      </c>
      <c r="F15" s="18">
        <v>30187192.210000001</v>
      </c>
      <c r="G15" s="18">
        <v>28987478.309999999</v>
      </c>
      <c r="H15" s="18">
        <v>26009814.719999999</v>
      </c>
      <c r="I15" s="41">
        <f t="shared" si="0"/>
        <v>29487069.457500003</v>
      </c>
      <c r="J15" s="1">
        <f t="shared" si="6"/>
        <v>-11.792473112703876</v>
      </c>
      <c r="K15" s="1">
        <f>('2020a'!J14+'2021a'!J14+'2022a'!J14+'2023a'!J15)/4</f>
        <v>-8.2612614383211351</v>
      </c>
      <c r="L15" s="1">
        <f t="shared" si="1"/>
        <v>-3.5312116743827406</v>
      </c>
      <c r="M15" s="66">
        <v>-3</v>
      </c>
      <c r="N15" s="1">
        <f t="shared" si="2"/>
        <v>-11.261261438321135</v>
      </c>
      <c r="O15" s="41">
        <f t="shared" si="3"/>
        <v>26166453.475391585</v>
      </c>
      <c r="P15" s="41">
        <f t="shared" si="4"/>
        <v>26009814.719999999</v>
      </c>
      <c r="Q15" s="1">
        <f>((O15-H15)/H15)*100</f>
        <v>0.6022294163869637</v>
      </c>
      <c r="V15">
        <f t="shared" si="5"/>
        <v>6.0222941638696367E-3</v>
      </c>
    </row>
    <row r="16" spans="1:22" ht="15.75" x14ac:dyDescent="0.25">
      <c r="A16" s="13"/>
      <c r="B16" s="1" t="s">
        <v>58</v>
      </c>
      <c r="C16" s="1" t="s">
        <v>133</v>
      </c>
      <c r="D16" s="18">
        <v>32988765.829999998</v>
      </c>
      <c r="E16" s="18">
        <v>31713502.140000001</v>
      </c>
      <c r="F16" s="18">
        <v>30089571.289999999</v>
      </c>
      <c r="G16" s="18">
        <v>23894816.870000001</v>
      </c>
      <c r="H16" s="18">
        <v>24792648.940000001</v>
      </c>
      <c r="I16" s="41">
        <f t="shared" si="0"/>
        <v>29671664.032499999</v>
      </c>
      <c r="J16" s="1">
        <f t="shared" si="6"/>
        <v>-16.44334839851216</v>
      </c>
      <c r="K16" s="1">
        <f>('2020a'!J15+'2021a'!J15+'2022a'!J15+'2023a'!J16)/4</f>
        <v>-12.100568081853563</v>
      </c>
      <c r="L16" s="1">
        <f t="shared" si="1"/>
        <v>-4.3427803166585974</v>
      </c>
      <c r="M16" s="66">
        <v>-6</v>
      </c>
      <c r="N16" s="1">
        <f t="shared" si="2"/>
        <v>-18.100568081853563</v>
      </c>
      <c r="O16" s="41">
        <f t="shared" si="3"/>
        <v>24300924.28327848</v>
      </c>
      <c r="P16" s="41">
        <f t="shared" si="4"/>
        <v>24792648.940000001</v>
      </c>
      <c r="Q16" s="1">
        <f>-((O16-H16)/H16)*100</f>
        <v>1.9833486043041642</v>
      </c>
      <c r="V16">
        <f t="shared" si="5"/>
        <v>-1.9833486043041641E-2</v>
      </c>
    </row>
    <row r="17" spans="1:23" ht="15.75" x14ac:dyDescent="0.25">
      <c r="A17" s="2" t="s">
        <v>21</v>
      </c>
      <c r="B17" s="22" t="s">
        <v>30</v>
      </c>
      <c r="C17" s="1" t="s">
        <v>185</v>
      </c>
      <c r="D17" s="51">
        <v>32770227.68</v>
      </c>
      <c r="E17" s="51">
        <v>30045391.120000005</v>
      </c>
      <c r="F17" s="51">
        <v>28826716.32</v>
      </c>
      <c r="G17" s="51">
        <v>22574331.095999993</v>
      </c>
      <c r="H17" s="51">
        <v>23546634.488000005</v>
      </c>
      <c r="I17" s="41">
        <f t="shared" si="0"/>
        <v>28554166.553999998</v>
      </c>
      <c r="J17" s="1">
        <f t="shared" si="6"/>
        <v>-17.536957545337685</v>
      </c>
      <c r="K17" s="1">
        <f>('2020a'!J16+'2021a'!J16+'2022a'!J16+'2023a'!J17)/4</f>
        <v>-4.1531216977287055</v>
      </c>
      <c r="L17" s="1">
        <f t="shared" si="1"/>
        <v>-13.38383584760898</v>
      </c>
      <c r="M17" s="66">
        <v>-9.0388999999999999</v>
      </c>
      <c r="N17" s="1">
        <f t="shared" si="2"/>
        <v>-13.192021697728705</v>
      </c>
      <c r="O17" s="41">
        <f t="shared" si="3"/>
        <v>24787294.706590727</v>
      </c>
      <c r="P17" s="41">
        <f t="shared" si="4"/>
        <v>23546634.488000005</v>
      </c>
      <c r="Q17" s="1">
        <f>((O17-H17)/H17)*100</f>
        <v>5.2689492386820511</v>
      </c>
      <c r="V17">
        <f t="shared" si="5"/>
        <v>5.2689492386820511E-2</v>
      </c>
    </row>
    <row r="18" spans="1:23" ht="15.75" x14ac:dyDescent="0.25">
      <c r="A18" s="13" t="s">
        <v>63</v>
      </c>
      <c r="B18" s="22" t="s">
        <v>64</v>
      </c>
      <c r="C18" s="1" t="s">
        <v>186</v>
      </c>
      <c r="D18" s="51">
        <v>31781409.335999999</v>
      </c>
      <c r="E18" s="51">
        <v>29018456.952000003</v>
      </c>
      <c r="F18" s="51">
        <v>23904977.280000001</v>
      </c>
      <c r="G18" s="51">
        <v>24557871.024000008</v>
      </c>
      <c r="H18" s="51">
        <v>22710128.848000001</v>
      </c>
      <c r="I18" s="41">
        <f t="shared" si="0"/>
        <v>27315678.648000002</v>
      </c>
      <c r="J18" s="1">
        <f t="shared" si="6"/>
        <v>-16.860462664496932</v>
      </c>
      <c r="K18" s="1">
        <f>('2020a'!J17+'2021a'!J17+'2022a'!J17+'2023a'!J18)/4</f>
        <v>-14.729437062818983</v>
      </c>
      <c r="L18" s="1">
        <f t="shared" si="1"/>
        <v>-2.1310256016779494</v>
      </c>
      <c r="M18" s="66">
        <v>-3</v>
      </c>
      <c r="N18" s="1">
        <f t="shared" si="2"/>
        <v>-17.729437062818981</v>
      </c>
      <c r="O18" s="41">
        <f t="shared" si="3"/>
        <v>22472762.593820959</v>
      </c>
      <c r="P18" s="41">
        <f t="shared" si="4"/>
        <v>22710128.848000001</v>
      </c>
      <c r="Q18" s="1">
        <f>-((O18-H18)/H18)*100</f>
        <v>1.0451999447812284</v>
      </c>
      <c r="V18">
        <f t="shared" si="5"/>
        <v>-1.0451999447812284E-2</v>
      </c>
    </row>
    <row r="19" spans="1:23" ht="15.75" x14ac:dyDescent="0.25">
      <c r="A19" s="13" t="s">
        <v>31</v>
      </c>
      <c r="B19" s="23" t="s">
        <v>65</v>
      </c>
      <c r="C19" s="1" t="s">
        <v>187</v>
      </c>
      <c r="D19" s="18">
        <v>23174758.050000001</v>
      </c>
      <c r="E19" s="18">
        <v>30251428.73</v>
      </c>
      <c r="F19" s="18">
        <v>29853482.469999999</v>
      </c>
      <c r="G19" s="18">
        <v>29008793.579999998</v>
      </c>
      <c r="H19" s="18">
        <v>25031135.780000001</v>
      </c>
      <c r="I19" s="41">
        <f t="shared" si="0"/>
        <v>28072115.7075</v>
      </c>
      <c r="J19" s="1">
        <f t="shared" si="6"/>
        <v>-10.832742210048467</v>
      </c>
      <c r="K19" s="1">
        <f>('2020a'!J18+'2021a'!J18+'2022a'!J18+'2023a'!J19)/4</f>
        <v>-6.7678605279049853</v>
      </c>
      <c r="L19" s="1">
        <f t="shared" si="1"/>
        <v>-4.0648816821434819</v>
      </c>
      <c r="M19" s="66">
        <v>-3</v>
      </c>
      <c r="N19" s="1">
        <f t="shared" si="2"/>
        <v>-9.7678605279049862</v>
      </c>
      <c r="O19" s="41">
        <f t="shared" si="3"/>
        <v>25330070.597959291</v>
      </c>
      <c r="P19" s="41">
        <f t="shared" si="4"/>
        <v>25031135.780000001</v>
      </c>
      <c r="Q19" s="1">
        <f>((O19-H19)/H19)*100</f>
        <v>1.1942519132437464</v>
      </c>
      <c r="V19">
        <f t="shared" si="5"/>
        <v>1.1942519132437464E-2</v>
      </c>
    </row>
    <row r="20" spans="1:23" ht="15.75" x14ac:dyDescent="0.25">
      <c r="A20" s="7" t="s">
        <v>32</v>
      </c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40" t="s">
        <v>96</v>
      </c>
      <c r="Q20" s="40">
        <f>SUM(Q6:Q19)/14</f>
        <v>1.5158588034578988</v>
      </c>
      <c r="R20" s="39" t="s">
        <v>198</v>
      </c>
      <c r="S20" s="39">
        <f>SQRT(SUMSQ(Q6:Q19)/COUNTA(Q6:Q19))</f>
        <v>2.0699278195974187</v>
      </c>
      <c r="T20" s="39" t="s">
        <v>199</v>
      </c>
      <c r="U20" s="39">
        <f>RSQ(O6:O19,P6:P19)</f>
        <v>0.9301007240153113</v>
      </c>
      <c r="V20" s="39" t="s">
        <v>200</v>
      </c>
      <c r="W20" s="39">
        <f t="array" ref="W20">AVERAGE(ABS(V6:V19))</f>
        <v>1.515858803457899E-2</v>
      </c>
    </row>
    <row r="22" spans="1:23" x14ac:dyDescent="0.25">
      <c r="A22" s="29" t="s">
        <v>95</v>
      </c>
    </row>
    <row r="23" spans="1:23" ht="15.75" x14ac:dyDescent="0.25">
      <c r="A23" s="2" t="s">
        <v>0</v>
      </c>
      <c r="B23" s="2" t="s">
        <v>1</v>
      </c>
      <c r="C23" s="3" t="s">
        <v>9</v>
      </c>
      <c r="D23" s="53" t="s">
        <v>8</v>
      </c>
      <c r="E23" s="54"/>
      <c r="F23" s="54"/>
      <c r="G23" s="54"/>
      <c r="H23" s="54"/>
      <c r="I23" s="55" t="s">
        <v>59</v>
      </c>
      <c r="J23" s="55" t="s">
        <v>60</v>
      </c>
      <c r="K23" s="55" t="s">
        <v>62</v>
      </c>
      <c r="L23" s="55" t="s">
        <v>61</v>
      </c>
      <c r="M23" s="5" t="s">
        <v>10</v>
      </c>
      <c r="N23" s="4" t="s">
        <v>12</v>
      </c>
      <c r="O23" s="20" t="s">
        <v>13</v>
      </c>
      <c r="P23" s="6" t="s">
        <v>14</v>
      </c>
      <c r="Q23" s="5" t="s">
        <v>15</v>
      </c>
    </row>
    <row r="24" spans="1:23" ht="15.75" x14ac:dyDescent="0.25">
      <c r="A24" s="7"/>
      <c r="B24" s="7"/>
      <c r="C24" s="8" t="s">
        <v>2</v>
      </c>
      <c r="D24" s="9" t="s">
        <v>3</v>
      </c>
      <c r="E24" s="9" t="s">
        <v>4</v>
      </c>
      <c r="F24" s="9" t="s">
        <v>5</v>
      </c>
      <c r="G24" s="9" t="s">
        <v>6</v>
      </c>
      <c r="H24" s="9" t="s">
        <v>7</v>
      </c>
      <c r="I24" s="56"/>
      <c r="J24" s="56"/>
      <c r="K24" s="56"/>
      <c r="L24" s="56"/>
      <c r="M24" s="10" t="s">
        <v>11</v>
      </c>
      <c r="N24" s="11" t="s">
        <v>60</v>
      </c>
      <c r="O24" s="21" t="s">
        <v>166</v>
      </c>
      <c r="P24" s="12" t="s">
        <v>167</v>
      </c>
      <c r="Q24" s="10" t="s">
        <v>16</v>
      </c>
    </row>
    <row r="25" spans="1:23" ht="15.75" x14ac:dyDescent="0.25">
      <c r="A25" s="2" t="s">
        <v>17</v>
      </c>
      <c r="B25" s="1" t="s">
        <v>19</v>
      </c>
      <c r="C25" s="1" t="s">
        <v>178</v>
      </c>
      <c r="D25" s="18">
        <v>31962075.063999999</v>
      </c>
      <c r="E25" s="18">
        <v>31389832.191999998</v>
      </c>
      <c r="F25" s="18">
        <v>30887111.496000003</v>
      </c>
      <c r="G25" s="18">
        <v>27674658.719999999</v>
      </c>
      <c r="H25" s="18">
        <v>25001165.223999992</v>
      </c>
      <c r="I25" s="1">
        <v>30478419.368000001</v>
      </c>
      <c r="J25" s="1">
        <v>-17.9709258471281</v>
      </c>
      <c r="K25" s="1">
        <v>-8.0090081078371149</v>
      </c>
      <c r="L25" s="1">
        <v>-9.9619177392909855</v>
      </c>
      <c r="M25" s="65">
        <v>-6.4973999999999998</v>
      </c>
      <c r="N25" s="1">
        <f>M25+K25</f>
        <v>-14.506408107837114</v>
      </c>
      <c r="O25" s="41">
        <f>I25+((N25*I25)/100)</f>
        <v>26057095.46965985</v>
      </c>
      <c r="P25" s="41">
        <f>H25</f>
        <v>25001165.223999992</v>
      </c>
      <c r="Q25" s="1">
        <f>((O25-H25)/H25)*100</f>
        <v>4.2235241285722651</v>
      </c>
      <c r="V25">
        <f>(O25-P25)/P25</f>
        <v>4.2235241285722654E-2</v>
      </c>
    </row>
    <row r="26" spans="1:23" ht="15.75" x14ac:dyDescent="0.25">
      <c r="A26" s="7" t="s">
        <v>18</v>
      </c>
      <c r="B26" s="1" t="s">
        <v>20</v>
      </c>
      <c r="C26" s="1" t="s">
        <v>174</v>
      </c>
      <c r="D26" s="18">
        <v>27235140.030000001</v>
      </c>
      <c r="E26" s="18">
        <v>28261723.059999999</v>
      </c>
      <c r="F26" s="18">
        <v>29261317.649999999</v>
      </c>
      <c r="G26" s="18">
        <v>25243722.100000001</v>
      </c>
      <c r="H26" s="18">
        <v>24512817.800000001</v>
      </c>
      <c r="I26" s="1">
        <v>27500475.710000001</v>
      </c>
      <c r="J26" s="1">
        <v>-10.864022650028552</v>
      </c>
      <c r="K26" s="1">
        <v>-7.2588762167099778</v>
      </c>
      <c r="L26" s="1">
        <v>-3.6051464333185743</v>
      </c>
      <c r="M26" s="66">
        <v>-3</v>
      </c>
      <c r="N26" s="1">
        <f t="shared" ref="N26:N38" si="7">M26+K26</f>
        <v>-10.258876216709979</v>
      </c>
      <c r="O26" s="41">
        <f t="shared" ref="O26:O38" si="8">I26+((N26*I26)/100)</f>
        <v>24679235.947904706</v>
      </c>
      <c r="P26" s="41">
        <f t="shared" ref="P26:P38" si="9">H26</f>
        <v>24512817.800000001</v>
      </c>
      <c r="Q26" s="1">
        <f>((O26-H26)/H26)*100</f>
        <v>0.6789025613559011</v>
      </c>
      <c r="V26">
        <f t="shared" ref="V26:V38" si="10">(O26-P26)/P26</f>
        <v>6.7890256135590115E-3</v>
      </c>
    </row>
    <row r="27" spans="1:23" ht="15.75" x14ac:dyDescent="0.25">
      <c r="A27" s="2" t="s">
        <v>21</v>
      </c>
      <c r="B27" s="1" t="s">
        <v>23</v>
      </c>
      <c r="C27" s="1" t="s">
        <v>175</v>
      </c>
      <c r="D27" s="18">
        <v>31957263.199999999</v>
      </c>
      <c r="E27" s="18">
        <v>31021032.050000001</v>
      </c>
      <c r="F27" s="18">
        <v>30016114.25</v>
      </c>
      <c r="G27" s="18">
        <v>25024126.18</v>
      </c>
      <c r="H27" s="18">
        <v>24126175.350000001</v>
      </c>
      <c r="I27" s="1">
        <v>29504633.920000002</v>
      </c>
      <c r="J27" s="1">
        <v>-18.229199469423545</v>
      </c>
      <c r="K27" s="1">
        <v>-9.6552800346627414</v>
      </c>
      <c r="L27" s="1">
        <v>-8.5739194347608034</v>
      </c>
      <c r="M27" s="66">
        <v>-9</v>
      </c>
      <c r="N27" s="1">
        <f t="shared" si="7"/>
        <v>-18.655280034662741</v>
      </c>
      <c r="O27" s="41">
        <f t="shared" si="8"/>
        <v>24000461.83902191</v>
      </c>
      <c r="P27" s="41">
        <f t="shared" si="9"/>
        <v>24126175.350000001</v>
      </c>
      <c r="Q27" s="1">
        <f>-((O27-H27)/H27)*100</f>
        <v>0.52106688753752883</v>
      </c>
      <c r="V27">
        <f t="shared" si="10"/>
        <v>-5.2106688753752878E-3</v>
      </c>
    </row>
    <row r="28" spans="1:23" ht="15.75" x14ac:dyDescent="0.25">
      <c r="A28" s="13" t="s">
        <v>22</v>
      </c>
      <c r="B28" s="1" t="s">
        <v>82</v>
      </c>
      <c r="C28" s="1" t="s">
        <v>176</v>
      </c>
      <c r="D28" s="18">
        <v>30050152.559999999</v>
      </c>
      <c r="E28" s="18">
        <v>26598716.23</v>
      </c>
      <c r="F28" s="18">
        <v>26845795.579999998</v>
      </c>
      <c r="G28" s="18">
        <v>27003129.120000001</v>
      </c>
      <c r="H28" s="18">
        <v>25429718.52</v>
      </c>
      <c r="I28" s="1">
        <v>27624448.372500002</v>
      </c>
      <c r="J28" s="1">
        <v>-7.9448820946768484</v>
      </c>
      <c r="K28" s="1">
        <v>-4.1994223233244732</v>
      </c>
      <c r="L28" s="1">
        <v>-3.7454597713523752</v>
      </c>
      <c r="M28" s="66">
        <v>-3</v>
      </c>
      <c r="N28" s="1">
        <f t="shared" si="7"/>
        <v>-7.1994223233244732</v>
      </c>
      <c r="O28" s="41">
        <f t="shared" si="8"/>
        <v>25635647.669674993</v>
      </c>
      <c r="P28" s="41">
        <f t="shared" si="9"/>
        <v>25429718.52</v>
      </c>
      <c r="Q28" s="1">
        <f>((O28-H28)/H28)*100</f>
        <v>0.80979720445208059</v>
      </c>
      <c r="V28">
        <f t="shared" si="10"/>
        <v>8.0979720445208056E-3</v>
      </c>
    </row>
    <row r="29" spans="1:23" ht="15.75" x14ac:dyDescent="0.25">
      <c r="A29" s="13"/>
      <c r="B29" s="1" t="s">
        <v>25</v>
      </c>
      <c r="C29" s="1" t="s">
        <v>179</v>
      </c>
      <c r="D29" s="18">
        <v>30101526.079999998</v>
      </c>
      <c r="E29" s="18">
        <v>28313128.739999998</v>
      </c>
      <c r="F29" s="18">
        <v>28015138.359999999</v>
      </c>
      <c r="G29" s="18">
        <v>24826248.280000001</v>
      </c>
      <c r="H29" s="18">
        <v>24516278.84</v>
      </c>
      <c r="I29" s="1">
        <v>27814010.364999998</v>
      </c>
      <c r="J29" s="1">
        <v>-11.856368361571217</v>
      </c>
      <c r="K29" s="1">
        <v>-7.4351603774193862</v>
      </c>
      <c r="L29" s="1">
        <v>-4.421207984151831</v>
      </c>
      <c r="M29" s="65">
        <v>-6.2592999999999996</v>
      </c>
      <c r="N29" s="1">
        <f t="shared" si="7"/>
        <v>-13.694460377419386</v>
      </c>
      <c r="O29" s="41">
        <f t="shared" si="8"/>
        <v>24005031.736193754</v>
      </c>
      <c r="P29" s="41">
        <f t="shared" si="9"/>
        <v>24516278.84</v>
      </c>
      <c r="Q29" s="1">
        <f>-((O29-H29)/H29)*100</f>
        <v>2.0853372860652537</v>
      </c>
      <c r="V29">
        <f t="shared" si="10"/>
        <v>-2.0853372860652537E-2</v>
      </c>
    </row>
    <row r="30" spans="1:23" ht="15.75" x14ac:dyDescent="0.25">
      <c r="A30" s="13"/>
      <c r="B30" s="1" t="s">
        <v>26</v>
      </c>
      <c r="C30" s="1" t="s">
        <v>181</v>
      </c>
      <c r="D30" s="18">
        <v>22303982.776000001</v>
      </c>
      <c r="E30" s="18">
        <v>29489179.431999993</v>
      </c>
      <c r="F30" s="18">
        <v>31781409.335999999</v>
      </c>
      <c r="G30" s="18">
        <v>29018456.952000003</v>
      </c>
      <c r="H30" s="18">
        <v>23904977.280000001</v>
      </c>
      <c r="I30" s="1">
        <v>28148257.123999998</v>
      </c>
      <c r="J30" s="1">
        <v>-15.074751610045714</v>
      </c>
      <c r="K30" s="1">
        <v>-3.0757634413158739</v>
      </c>
      <c r="L30" s="1">
        <v>-11.998988168729841</v>
      </c>
      <c r="M30" s="66">
        <v>-12</v>
      </c>
      <c r="N30" s="1">
        <f t="shared" si="7"/>
        <v>-15.075763441315875</v>
      </c>
      <c r="O30" s="41">
        <f t="shared" si="8"/>
        <v>23904692.467132416</v>
      </c>
      <c r="P30" s="41">
        <f t="shared" si="9"/>
        <v>23904977.280000001</v>
      </c>
      <c r="Q30" s="1">
        <f>((O30-H30)/H30)*100*-1</f>
        <v>1.1914375163362197E-3</v>
      </c>
      <c r="V30">
        <f t="shared" si="10"/>
        <v>-1.1914375163362197E-5</v>
      </c>
    </row>
    <row r="31" spans="1:23" ht="15.75" x14ac:dyDescent="0.25">
      <c r="A31" s="13"/>
      <c r="B31" s="1" t="s">
        <v>35</v>
      </c>
      <c r="C31" s="1" t="s">
        <v>180</v>
      </c>
      <c r="D31" s="18">
        <v>28929860.432</v>
      </c>
      <c r="E31" s="18">
        <v>23254492.015999991</v>
      </c>
      <c r="F31" s="18">
        <v>25535227.792000003</v>
      </c>
      <c r="G31" s="18">
        <v>22107167.400000002</v>
      </c>
      <c r="H31" s="18">
        <v>20221836.344000001</v>
      </c>
      <c r="I31" s="1">
        <v>24956686.91</v>
      </c>
      <c r="J31" s="1">
        <v>-18.972272173285841</v>
      </c>
      <c r="K31" s="1">
        <v>-8.4619821154868404</v>
      </c>
      <c r="L31" s="1">
        <v>-10.510290057799001</v>
      </c>
      <c r="M31" s="66">
        <v>-12</v>
      </c>
      <c r="N31" s="1">
        <f t="shared" si="7"/>
        <v>-20.46198211548684</v>
      </c>
      <c r="O31" s="41">
        <f t="shared" si="8"/>
        <v>19850054.097857755</v>
      </c>
      <c r="P31" s="41">
        <f t="shared" si="9"/>
        <v>20221836.344000001</v>
      </c>
      <c r="Q31" s="1">
        <f>-((O31-H31)/H31)*100</f>
        <v>1.8385187171814736</v>
      </c>
      <c r="V31">
        <f t="shared" si="10"/>
        <v>-1.8385187171814737E-2</v>
      </c>
    </row>
    <row r="32" spans="1:23" ht="15.75" x14ac:dyDescent="0.25">
      <c r="A32" s="13"/>
      <c r="B32" s="1" t="s">
        <v>36</v>
      </c>
      <c r="C32" s="1" t="s">
        <v>182</v>
      </c>
      <c r="D32" s="18">
        <v>23254492.015999991</v>
      </c>
      <c r="E32" s="18">
        <v>25535227.792000003</v>
      </c>
      <c r="F32" s="18">
        <v>22107167.400000002</v>
      </c>
      <c r="G32" s="18">
        <v>20221836.344000001</v>
      </c>
      <c r="H32" s="18">
        <v>20717922.855999995</v>
      </c>
      <c r="I32" s="1">
        <v>22779680.888</v>
      </c>
      <c r="J32" s="1">
        <v>-9.0508644178861566</v>
      </c>
      <c r="K32" s="1">
        <v>-2.6012736104602441</v>
      </c>
      <c r="L32" s="1">
        <v>-6.4495908074259125</v>
      </c>
      <c r="M32" s="66">
        <v>-6</v>
      </c>
      <c r="N32" s="1">
        <f t="shared" si="7"/>
        <v>-8.6012736104602432</v>
      </c>
      <c r="O32" s="41">
        <f t="shared" si="8"/>
        <v>20820338.207233399</v>
      </c>
      <c r="P32" s="41">
        <f t="shared" si="9"/>
        <v>20717922.855999995</v>
      </c>
      <c r="Q32" s="1">
        <f>((O32-H32)/H32)*100</f>
        <v>0.49433213911086765</v>
      </c>
      <c r="V32">
        <f t="shared" si="10"/>
        <v>4.9433213911086763E-3</v>
      </c>
    </row>
    <row r="33" spans="1:23" ht="15.75" x14ac:dyDescent="0.25">
      <c r="A33" s="2" t="s">
        <v>21</v>
      </c>
      <c r="B33" s="1" t="s">
        <v>56</v>
      </c>
      <c r="C33" s="1" t="s">
        <v>183</v>
      </c>
      <c r="D33" s="18">
        <v>33264636.728000011</v>
      </c>
      <c r="E33" s="18">
        <v>31685393.768160004</v>
      </c>
      <c r="F33" s="18">
        <v>32736842.800000008</v>
      </c>
      <c r="G33" s="18">
        <v>31201639.880000003</v>
      </c>
      <c r="H33" s="18">
        <v>25986091.631999992</v>
      </c>
      <c r="I33" s="1">
        <v>32222128.294040009</v>
      </c>
      <c r="J33" s="1">
        <v>-19.353273642056323</v>
      </c>
      <c r="K33" s="1">
        <v>-10.471502333919931</v>
      </c>
      <c r="L33" s="1">
        <v>-8.8817713081363916</v>
      </c>
      <c r="M33" s="66">
        <v>-9.8280999999999992</v>
      </c>
      <c r="N33" s="1">
        <f t="shared" si="7"/>
        <v>-20.299602333919928</v>
      </c>
      <c r="O33" s="41">
        <f t="shared" si="8"/>
        <v>25681164.386824392</v>
      </c>
      <c r="P33" s="41">
        <f t="shared" si="9"/>
        <v>25986091.631999992</v>
      </c>
      <c r="Q33" s="1">
        <f>-((O33-H33)/H33)*100</f>
        <v>1.1734248054451721</v>
      </c>
      <c r="V33">
        <f t="shared" si="10"/>
        <v>-1.1734248054451722E-2</v>
      </c>
    </row>
    <row r="34" spans="1:23" ht="15.75" x14ac:dyDescent="0.25">
      <c r="A34" s="13" t="s">
        <v>27</v>
      </c>
      <c r="B34" s="1" t="s">
        <v>57</v>
      </c>
      <c r="C34" s="1" t="s">
        <v>184</v>
      </c>
      <c r="D34" s="18">
        <v>28258348.390000001</v>
      </c>
      <c r="E34" s="18">
        <v>30515258.920000002</v>
      </c>
      <c r="F34" s="18">
        <v>30187192.210000001</v>
      </c>
      <c r="G34" s="18">
        <v>28987478.309999999</v>
      </c>
      <c r="H34" s="18">
        <v>26009814.719999999</v>
      </c>
      <c r="I34" s="1">
        <v>29487069.457500003</v>
      </c>
      <c r="J34" s="1">
        <v>-11.792473112703876</v>
      </c>
      <c r="K34" s="1">
        <v>-8.2612614383211351</v>
      </c>
      <c r="L34" s="1">
        <v>-3.5312116743827406</v>
      </c>
      <c r="M34" s="66">
        <v>-3</v>
      </c>
      <c r="N34" s="1">
        <f t="shared" si="7"/>
        <v>-11.261261438321135</v>
      </c>
      <c r="O34" s="41">
        <f t="shared" si="8"/>
        <v>26166453.475391585</v>
      </c>
      <c r="P34" s="41">
        <f t="shared" si="9"/>
        <v>26009814.719999999</v>
      </c>
      <c r="Q34" s="1">
        <f>((O34-H34)/H34)*100</f>
        <v>0.6022294163869637</v>
      </c>
      <c r="V34">
        <f t="shared" si="10"/>
        <v>6.0222941638696367E-3</v>
      </c>
    </row>
    <row r="35" spans="1:23" ht="15.75" x14ac:dyDescent="0.25">
      <c r="A35" s="13"/>
      <c r="B35" s="1" t="s">
        <v>58</v>
      </c>
      <c r="C35" s="1" t="s">
        <v>133</v>
      </c>
      <c r="D35" s="18">
        <v>32988765.829999998</v>
      </c>
      <c r="E35" s="18">
        <v>31713502.140000001</v>
      </c>
      <c r="F35" s="18">
        <v>30089571.289999999</v>
      </c>
      <c r="G35" s="18">
        <v>23894816.870000001</v>
      </c>
      <c r="H35" s="18">
        <v>24792648.940000001</v>
      </c>
      <c r="I35" s="1">
        <v>29671664.032499999</v>
      </c>
      <c r="J35" s="1">
        <v>-16.44334839851216</v>
      </c>
      <c r="K35" s="1">
        <v>-12.100568081853563</v>
      </c>
      <c r="L35" s="1">
        <v>-4.3427803166585974</v>
      </c>
      <c r="M35" s="66">
        <v>-6</v>
      </c>
      <c r="N35" s="1">
        <f t="shared" si="7"/>
        <v>-18.100568081853563</v>
      </c>
      <c r="O35" s="41">
        <f t="shared" si="8"/>
        <v>24300924.28327848</v>
      </c>
      <c r="P35" s="41">
        <f t="shared" si="9"/>
        <v>24792648.940000001</v>
      </c>
      <c r="Q35" s="1">
        <f>-((O35-H35)/H35)*100</f>
        <v>1.9833486043041642</v>
      </c>
      <c r="V35">
        <f t="shared" si="10"/>
        <v>-1.9833486043041641E-2</v>
      </c>
    </row>
    <row r="36" spans="1:23" ht="15.75" x14ac:dyDescent="0.25">
      <c r="A36" s="2" t="s">
        <v>21</v>
      </c>
      <c r="B36" s="22" t="s">
        <v>30</v>
      </c>
      <c r="C36" s="1" t="s">
        <v>185</v>
      </c>
      <c r="D36" s="18">
        <v>32770227.68</v>
      </c>
      <c r="E36" s="18">
        <v>30045391.120000005</v>
      </c>
      <c r="F36" s="18">
        <v>28826716.32</v>
      </c>
      <c r="G36" s="18">
        <v>22574331.095999993</v>
      </c>
      <c r="H36" s="18">
        <v>23546634.488000005</v>
      </c>
      <c r="I36" s="1">
        <v>28554166.553999998</v>
      </c>
      <c r="J36" s="1">
        <v>-17.536957545337685</v>
      </c>
      <c r="K36" s="1">
        <v>-4.1531216977287055</v>
      </c>
      <c r="L36" s="1">
        <v>-13.38383584760898</v>
      </c>
      <c r="M36" s="66">
        <v>-9.5266999999999999</v>
      </c>
      <c r="N36" s="1">
        <f t="shared" si="7"/>
        <v>-13.679821697728705</v>
      </c>
      <c r="O36" s="41">
        <f t="shared" si="8"/>
        <v>24648007.482140314</v>
      </c>
      <c r="P36" s="41">
        <f t="shared" si="9"/>
        <v>23546634.488000005</v>
      </c>
      <c r="Q36" s="1">
        <f>((O36-H36)/H36)*100</f>
        <v>4.6774115201117068</v>
      </c>
      <c r="V36">
        <f t="shared" si="10"/>
        <v>4.6774115201117065E-2</v>
      </c>
    </row>
    <row r="37" spans="1:23" ht="15.75" x14ac:dyDescent="0.25">
      <c r="A37" s="13" t="s">
        <v>63</v>
      </c>
      <c r="B37" s="22" t="s">
        <v>64</v>
      </c>
      <c r="C37" s="1" t="s">
        <v>186</v>
      </c>
      <c r="D37" s="18">
        <v>31781409.335999999</v>
      </c>
      <c r="E37" s="18">
        <v>29018456.952000003</v>
      </c>
      <c r="F37" s="18">
        <v>23904977.280000001</v>
      </c>
      <c r="G37" s="18">
        <v>24557871.024000008</v>
      </c>
      <c r="H37" s="18">
        <v>22710128.848000001</v>
      </c>
      <c r="I37" s="1">
        <v>27315678.648000002</v>
      </c>
      <c r="J37" s="1">
        <v>-16.860462664496932</v>
      </c>
      <c r="K37" s="1">
        <v>-14.729437062818983</v>
      </c>
      <c r="L37" s="1">
        <v>-2.1310256016779494</v>
      </c>
      <c r="M37" s="66">
        <v>-3</v>
      </c>
      <c r="N37" s="1">
        <f t="shared" si="7"/>
        <v>-17.729437062818981</v>
      </c>
      <c r="O37" s="41">
        <f t="shared" si="8"/>
        <v>22472762.593820959</v>
      </c>
      <c r="P37" s="41">
        <f t="shared" si="9"/>
        <v>22710128.848000001</v>
      </c>
      <c r="Q37" s="1">
        <f>-((O37-H37)/H37)*100</f>
        <v>1.0451999447812284</v>
      </c>
      <c r="V37">
        <f t="shared" si="10"/>
        <v>-1.0451999447812284E-2</v>
      </c>
    </row>
    <row r="38" spans="1:23" ht="15.75" x14ac:dyDescent="0.25">
      <c r="A38" s="13" t="s">
        <v>31</v>
      </c>
      <c r="B38" s="23" t="s">
        <v>65</v>
      </c>
      <c r="C38" s="1" t="s">
        <v>187</v>
      </c>
      <c r="D38" s="18">
        <v>23174758.050000001</v>
      </c>
      <c r="E38" s="18">
        <v>30251428.73</v>
      </c>
      <c r="F38" s="18">
        <v>29853482.469999999</v>
      </c>
      <c r="G38" s="18">
        <v>29008793.579999998</v>
      </c>
      <c r="H38" s="18">
        <v>25031135.780000001</v>
      </c>
      <c r="I38" s="1">
        <v>28072115.7075</v>
      </c>
      <c r="J38" s="1">
        <v>-10.832742210048467</v>
      </c>
      <c r="K38" s="1">
        <v>-6.7678605279049853</v>
      </c>
      <c r="L38" s="1">
        <v>-4.0648816821434819</v>
      </c>
      <c r="M38" s="66">
        <v>-3</v>
      </c>
      <c r="N38" s="1">
        <f t="shared" si="7"/>
        <v>-9.7678605279049862</v>
      </c>
      <c r="O38" s="41">
        <f t="shared" si="8"/>
        <v>25330070.597959291</v>
      </c>
      <c r="P38" s="41">
        <f t="shared" si="9"/>
        <v>25031135.780000001</v>
      </c>
      <c r="Q38" s="1">
        <f>((O38-H38)/H38)*100</f>
        <v>1.1942519132437464</v>
      </c>
      <c r="V38">
        <f t="shared" si="10"/>
        <v>1.1942519132437464E-2</v>
      </c>
    </row>
    <row r="39" spans="1:23" ht="15.75" x14ac:dyDescent="0.25">
      <c r="A39" s="7" t="s">
        <v>32</v>
      </c>
      <c r="B39" s="22"/>
      <c r="C39" s="1"/>
      <c r="D39" s="18"/>
      <c r="E39" s="18"/>
      <c r="F39" s="18"/>
      <c r="G39" s="18"/>
      <c r="H39" s="18"/>
      <c r="I39" s="1"/>
      <c r="J39" s="1"/>
      <c r="K39" s="1"/>
      <c r="L39" s="1"/>
      <c r="M39" s="1"/>
      <c r="N39" s="1"/>
      <c r="O39" s="1"/>
      <c r="P39" s="40" t="s">
        <v>96</v>
      </c>
      <c r="Q39" s="40">
        <f>SUM(Q25:Q38)/14</f>
        <v>1.5234668975760493</v>
      </c>
      <c r="R39" s="39" t="s">
        <v>198</v>
      </c>
      <c r="S39" s="39">
        <f>SQRT(SUMSQ(Q25:Q38)/COUNTA(Q25:Q38))</f>
        <v>2.0225449338988368</v>
      </c>
      <c r="T39" s="39" t="s">
        <v>199</v>
      </c>
      <c r="U39" s="39">
        <f>RSQ(O25:O38,P25:P38)</f>
        <v>0.93174223388820565</v>
      </c>
      <c r="V39" s="39" t="s">
        <v>200</v>
      </c>
      <c r="W39" s="39">
        <f t="array" ref="W39">AVERAGE(ABS(V25:V38))</f>
        <v>1.5234668975760493E-2</v>
      </c>
    </row>
    <row r="40" spans="1:23" ht="15.75" x14ac:dyDescent="0.25">
      <c r="A40" s="17"/>
      <c r="B40" s="17"/>
      <c r="C40" s="17"/>
      <c r="D40" s="35"/>
      <c r="E40" s="35"/>
      <c r="F40" s="35"/>
      <c r="G40" s="35"/>
      <c r="H40" s="35"/>
      <c r="I40" s="17"/>
      <c r="J40" s="17"/>
      <c r="K40" s="17"/>
      <c r="L40" s="17"/>
      <c r="M40" s="17"/>
      <c r="N40" s="17"/>
      <c r="O40" s="17"/>
      <c r="P40" s="17"/>
      <c r="Q40" s="17"/>
    </row>
    <row r="41" spans="1:23" ht="15.75" x14ac:dyDescent="0.25">
      <c r="A41" s="36" t="s">
        <v>196</v>
      </c>
      <c r="B41" s="17"/>
      <c r="C41" s="17"/>
      <c r="D41" s="35"/>
      <c r="E41" s="35"/>
      <c r="F41" s="35"/>
      <c r="G41" s="35"/>
      <c r="H41" s="35"/>
      <c r="I41" s="17"/>
      <c r="J41" s="17"/>
      <c r="K41" s="17"/>
      <c r="L41" s="17"/>
      <c r="M41" s="17"/>
      <c r="N41" s="17"/>
      <c r="O41" s="17"/>
      <c r="P41" s="17"/>
      <c r="Q41" s="17"/>
    </row>
    <row r="42" spans="1:23" ht="15.75" x14ac:dyDescent="0.25">
      <c r="A42" s="2" t="s">
        <v>0</v>
      </c>
      <c r="B42" s="2" t="s">
        <v>1</v>
      </c>
      <c r="C42" s="3" t="s">
        <v>9</v>
      </c>
      <c r="D42" s="53" t="s">
        <v>8</v>
      </c>
      <c r="E42" s="54"/>
      <c r="F42" s="54"/>
      <c r="G42" s="54"/>
      <c r="H42" s="54"/>
      <c r="I42" s="55" t="s">
        <v>59</v>
      </c>
      <c r="J42" s="55" t="s">
        <v>60</v>
      </c>
      <c r="K42" s="55" t="s">
        <v>62</v>
      </c>
      <c r="L42" s="55" t="s">
        <v>61</v>
      </c>
      <c r="M42" s="5" t="s">
        <v>10</v>
      </c>
      <c r="N42" s="4" t="s">
        <v>12</v>
      </c>
      <c r="O42" s="20" t="s">
        <v>13</v>
      </c>
      <c r="P42" s="6" t="s">
        <v>14</v>
      </c>
      <c r="Q42" s="5" t="s">
        <v>15</v>
      </c>
    </row>
    <row r="43" spans="1:23" ht="15.75" x14ac:dyDescent="0.25">
      <c r="A43" s="7"/>
      <c r="B43" s="7"/>
      <c r="C43" s="8" t="s">
        <v>2</v>
      </c>
      <c r="D43" s="9" t="s">
        <v>3</v>
      </c>
      <c r="E43" s="9" t="s">
        <v>4</v>
      </c>
      <c r="F43" s="9" t="s">
        <v>5</v>
      </c>
      <c r="G43" s="9" t="s">
        <v>6</v>
      </c>
      <c r="H43" s="9" t="s">
        <v>7</v>
      </c>
      <c r="I43" s="56"/>
      <c r="J43" s="56"/>
      <c r="K43" s="56"/>
      <c r="L43" s="56"/>
      <c r="M43" s="10" t="s">
        <v>11</v>
      </c>
      <c r="N43" s="11" t="s">
        <v>60</v>
      </c>
      <c r="O43" s="21" t="s">
        <v>166</v>
      </c>
      <c r="P43" s="12" t="s">
        <v>167</v>
      </c>
      <c r="Q43" s="10" t="s">
        <v>16</v>
      </c>
    </row>
    <row r="44" spans="1:23" ht="15.75" x14ac:dyDescent="0.25">
      <c r="A44" s="2" t="s">
        <v>17</v>
      </c>
      <c r="B44" s="1" t="s">
        <v>19</v>
      </c>
      <c r="C44" s="1" t="s">
        <v>178</v>
      </c>
      <c r="D44" s="18">
        <v>31962075.063999999</v>
      </c>
      <c r="E44" s="18">
        <v>31389832.191999998</v>
      </c>
      <c r="F44" s="18">
        <v>30887111.496000003</v>
      </c>
      <c r="G44" s="18">
        <v>27674658.719999999</v>
      </c>
      <c r="H44" s="18">
        <v>25001165.223999992</v>
      </c>
      <c r="I44" s="1">
        <v>30478419.368000001</v>
      </c>
      <c r="J44" s="1">
        <v>-17.9709258471281</v>
      </c>
      <c r="K44" s="1">
        <v>-8.0090081078371149</v>
      </c>
      <c r="L44" s="1">
        <v>-9.9619177392909855</v>
      </c>
      <c r="M44" s="64">
        <v>-6.4406999999999996</v>
      </c>
      <c r="N44" s="1">
        <f>M44+K44</f>
        <v>-14.449708107837115</v>
      </c>
      <c r="O44" s="41">
        <f>I44+((N44*I44)/100)</f>
        <v>26074376.733441509</v>
      </c>
      <c r="P44" s="41">
        <f>H44</f>
        <v>25001165.223999992</v>
      </c>
      <c r="Q44" s="1">
        <f>((O44-H44)/H44)*100</f>
        <v>4.2926459620021333</v>
      </c>
      <c r="V44">
        <f>(O44-P44)/P44</f>
        <v>4.2926459620021333E-2</v>
      </c>
    </row>
    <row r="45" spans="1:23" ht="15.75" x14ac:dyDescent="0.25">
      <c r="A45" s="7" t="s">
        <v>18</v>
      </c>
      <c r="B45" s="1" t="s">
        <v>20</v>
      </c>
      <c r="C45" s="1" t="s">
        <v>174</v>
      </c>
      <c r="D45" s="18">
        <v>27235140.030000001</v>
      </c>
      <c r="E45" s="18">
        <v>28261723.059999999</v>
      </c>
      <c r="F45" s="18">
        <v>29261317.649999999</v>
      </c>
      <c r="G45" s="18">
        <v>25243722.100000001</v>
      </c>
      <c r="H45" s="18">
        <v>24512817.800000001</v>
      </c>
      <c r="I45" s="1">
        <v>27500475.710000001</v>
      </c>
      <c r="J45" s="1">
        <v>-10.864022650028552</v>
      </c>
      <c r="K45" s="1">
        <v>-7.2588762167099778</v>
      </c>
      <c r="L45" s="1">
        <v>-3.6051464333185743</v>
      </c>
      <c r="M45" s="65">
        <v>-3.0581999999999998</v>
      </c>
      <c r="N45" s="1">
        <f t="shared" ref="N45:N57" si="11">M45+K45</f>
        <v>-10.317076216709978</v>
      </c>
      <c r="O45" s="41">
        <f t="shared" ref="O45:O57" si="12">I45+((N45*I45)/100)</f>
        <v>24663230.671041489</v>
      </c>
      <c r="P45" s="41">
        <f t="shared" ref="P45:P57" si="13">H45</f>
        <v>24512817.800000001</v>
      </c>
      <c r="Q45" s="1">
        <f>((O45-H45)/H45)*100</f>
        <v>0.61360906065025256</v>
      </c>
      <c r="V45">
        <f t="shared" ref="V45:V57" si="14">(O45-P45)/P45</f>
        <v>6.1360906065025256E-3</v>
      </c>
    </row>
    <row r="46" spans="1:23" ht="15.75" x14ac:dyDescent="0.25">
      <c r="A46" s="2" t="s">
        <v>21</v>
      </c>
      <c r="B46" s="1" t="s">
        <v>23</v>
      </c>
      <c r="C46" s="1" t="s">
        <v>175</v>
      </c>
      <c r="D46" s="18">
        <v>31957263.199999999</v>
      </c>
      <c r="E46" s="18">
        <v>31021032.050000001</v>
      </c>
      <c r="F46" s="18">
        <v>30016114.25</v>
      </c>
      <c r="G46" s="18">
        <v>25024126.18</v>
      </c>
      <c r="H46" s="18">
        <v>24126175.350000001</v>
      </c>
      <c r="I46" s="1">
        <v>29504633.920000002</v>
      </c>
      <c r="J46" s="1">
        <v>-18.229199469423545</v>
      </c>
      <c r="K46" s="1">
        <v>-9.6552800346627414</v>
      </c>
      <c r="L46" s="1">
        <v>-8.5739194347608034</v>
      </c>
      <c r="M46" s="65">
        <v>-8.9331999999999994</v>
      </c>
      <c r="N46" s="1">
        <f t="shared" si="11"/>
        <v>-18.588480034662741</v>
      </c>
      <c r="O46" s="41">
        <f t="shared" si="12"/>
        <v>24020170.93448047</v>
      </c>
      <c r="P46" s="41">
        <f t="shared" si="13"/>
        <v>24126175.350000001</v>
      </c>
      <c r="Q46" s="1">
        <f t="shared" ref="Q46:Q52" si="15">-((O46-H46)/H46)*100</f>
        <v>0.43937513502127395</v>
      </c>
      <c r="V46">
        <f t="shared" si="14"/>
        <v>-4.3937513502127394E-3</v>
      </c>
    </row>
    <row r="47" spans="1:23" ht="15.75" x14ac:dyDescent="0.25">
      <c r="A47" s="13" t="s">
        <v>22</v>
      </c>
      <c r="B47" s="1" t="s">
        <v>82</v>
      </c>
      <c r="C47" s="1" t="s">
        <v>176</v>
      </c>
      <c r="D47" s="18">
        <v>30050152.559999999</v>
      </c>
      <c r="E47" s="18">
        <v>26598716.23</v>
      </c>
      <c r="F47" s="18">
        <v>26845795.579999998</v>
      </c>
      <c r="G47" s="18">
        <v>27003129.120000001</v>
      </c>
      <c r="H47" s="18">
        <v>25429718.52</v>
      </c>
      <c r="I47" s="1">
        <v>27624448.372500002</v>
      </c>
      <c r="J47" s="1">
        <v>-7.9448820946768484</v>
      </c>
      <c r="K47" s="1">
        <v>-4.1994223233244732</v>
      </c>
      <c r="L47" s="1">
        <v>-3.7454597713523752</v>
      </c>
      <c r="M47" s="65">
        <v>-3.0625</v>
      </c>
      <c r="N47" s="1">
        <f t="shared" si="11"/>
        <v>-7.2619223233244732</v>
      </c>
      <c r="O47" s="41">
        <f t="shared" si="12"/>
        <v>25618382.389442179</v>
      </c>
      <c r="P47" s="41">
        <f t="shared" si="13"/>
        <v>25429718.52</v>
      </c>
      <c r="Q47" s="1">
        <f>((O47-H47)/H47)*100</f>
        <v>0.74190309772323737</v>
      </c>
      <c r="V47">
        <f t="shared" si="14"/>
        <v>7.4190309772323741E-3</v>
      </c>
    </row>
    <row r="48" spans="1:23" ht="15.75" x14ac:dyDescent="0.25">
      <c r="A48" s="13"/>
      <c r="B48" s="1" t="s">
        <v>25</v>
      </c>
      <c r="C48" s="1" t="s">
        <v>179</v>
      </c>
      <c r="D48" s="18">
        <v>30101526.079999998</v>
      </c>
      <c r="E48" s="18">
        <v>28313128.739999998</v>
      </c>
      <c r="F48" s="18">
        <v>28015138.359999999</v>
      </c>
      <c r="G48" s="18">
        <v>24826248.280000001</v>
      </c>
      <c r="H48" s="18">
        <v>24516278.84</v>
      </c>
      <c r="I48" s="1">
        <v>27814010.364999998</v>
      </c>
      <c r="J48" s="1">
        <v>-11.856368361571217</v>
      </c>
      <c r="K48" s="1">
        <v>-7.4351603774193862</v>
      </c>
      <c r="L48" s="1">
        <v>-4.421207984151831</v>
      </c>
      <c r="M48" s="65">
        <v>-6.2172999999999998</v>
      </c>
      <c r="N48" s="1">
        <f t="shared" si="11"/>
        <v>-13.652460377419386</v>
      </c>
      <c r="O48" s="41">
        <f t="shared" si="12"/>
        <v>24016713.620547052</v>
      </c>
      <c r="P48" s="41">
        <f t="shared" si="13"/>
        <v>24516278.84</v>
      </c>
      <c r="Q48" s="1">
        <f>-((O48-H48)/H48)*100</f>
        <v>2.0376877857902</v>
      </c>
      <c r="V48">
        <f t="shared" si="14"/>
        <v>-2.0376877857902001E-2</v>
      </c>
    </row>
    <row r="49" spans="1:23" ht="15.75" x14ac:dyDescent="0.25">
      <c r="A49" s="13"/>
      <c r="B49" s="1" t="s">
        <v>26</v>
      </c>
      <c r="C49" s="1" t="s">
        <v>181</v>
      </c>
      <c r="D49" s="18">
        <v>22303982.776000001</v>
      </c>
      <c r="E49" s="18">
        <v>29489179.431999993</v>
      </c>
      <c r="F49" s="18">
        <v>31781409.335999999</v>
      </c>
      <c r="G49" s="18">
        <v>29018456.952000003</v>
      </c>
      <c r="H49" s="18">
        <v>23904977.280000001</v>
      </c>
      <c r="I49" s="1">
        <v>28148257.123999998</v>
      </c>
      <c r="J49" s="1">
        <v>-15.074751610045714</v>
      </c>
      <c r="K49" s="1">
        <v>-3.0757634413158739</v>
      </c>
      <c r="L49" s="1">
        <v>-11.998988168729841</v>
      </c>
      <c r="M49" s="66">
        <v>-12</v>
      </c>
      <c r="N49" s="1">
        <f t="shared" si="11"/>
        <v>-15.075763441315875</v>
      </c>
      <c r="O49" s="41">
        <f t="shared" si="12"/>
        <v>23904692.467132416</v>
      </c>
      <c r="P49" s="41">
        <f t="shared" si="13"/>
        <v>23904977.280000001</v>
      </c>
      <c r="Q49" s="1">
        <f>-((O49-H49)/H49)*100</f>
        <v>1.1914375163362197E-3</v>
      </c>
      <c r="V49">
        <f t="shared" si="14"/>
        <v>-1.1914375163362197E-5</v>
      </c>
    </row>
    <row r="50" spans="1:23" ht="15.75" x14ac:dyDescent="0.25">
      <c r="A50" s="13"/>
      <c r="B50" s="1" t="s">
        <v>35</v>
      </c>
      <c r="C50" s="1" t="s">
        <v>180</v>
      </c>
      <c r="D50" s="18">
        <v>28929860.432</v>
      </c>
      <c r="E50" s="18">
        <v>23254492.015999991</v>
      </c>
      <c r="F50" s="18">
        <v>25535227.792000003</v>
      </c>
      <c r="G50" s="18">
        <v>22107167.400000002</v>
      </c>
      <c r="H50" s="18">
        <v>20221836.344000001</v>
      </c>
      <c r="I50" s="1">
        <v>24956686.91</v>
      </c>
      <c r="J50" s="1">
        <v>-18.972272173285841</v>
      </c>
      <c r="K50" s="1">
        <v>-8.4619821154868404</v>
      </c>
      <c r="L50" s="1">
        <v>-10.510290057799001</v>
      </c>
      <c r="M50" s="65">
        <v>-11.9101</v>
      </c>
      <c r="N50" s="1">
        <f t="shared" si="11"/>
        <v>-20.37208211548684</v>
      </c>
      <c r="O50" s="41">
        <f t="shared" si="12"/>
        <v>19872490.159389846</v>
      </c>
      <c r="P50" s="41">
        <f t="shared" si="13"/>
        <v>20221836.344000001</v>
      </c>
      <c r="Q50" s="1">
        <f>-((O50-H50)/H50)*100</f>
        <v>1.7275690430251585</v>
      </c>
      <c r="V50">
        <f t="shared" si="14"/>
        <v>-1.7275690430251584E-2</v>
      </c>
    </row>
    <row r="51" spans="1:23" ht="15.75" x14ac:dyDescent="0.25">
      <c r="A51" s="13"/>
      <c r="B51" s="1" t="s">
        <v>36</v>
      </c>
      <c r="C51" s="1" t="s">
        <v>182</v>
      </c>
      <c r="D51" s="18">
        <v>23254492.015999991</v>
      </c>
      <c r="E51" s="18">
        <v>25535227.792000003</v>
      </c>
      <c r="F51" s="18">
        <v>22107167.400000002</v>
      </c>
      <c r="G51" s="18">
        <v>20221836.344000001</v>
      </c>
      <c r="H51" s="18">
        <v>20717922.855999995</v>
      </c>
      <c r="I51" s="1">
        <v>22779680.888</v>
      </c>
      <c r="J51" s="1">
        <v>-9.0508644178861566</v>
      </c>
      <c r="K51" s="1">
        <v>-2.6012736104602441</v>
      </c>
      <c r="L51" s="1">
        <v>-6.4495908074259125</v>
      </c>
      <c r="M51" s="66">
        <v>-6.0701000000000001</v>
      </c>
      <c r="N51" s="1">
        <f t="shared" si="11"/>
        <v>-8.6713736104602432</v>
      </c>
      <c r="O51" s="41">
        <f t="shared" si="12"/>
        <v>20804369.650930911</v>
      </c>
      <c r="P51" s="41">
        <f t="shared" si="13"/>
        <v>20717922.855999995</v>
      </c>
      <c r="Q51" s="1">
        <f>((O51-H51)/H51)*100</f>
        <v>0.41725609044770112</v>
      </c>
      <c r="V51">
        <f t="shared" si="14"/>
        <v>4.1725609044770112E-3</v>
      </c>
    </row>
    <row r="52" spans="1:23" ht="15.75" x14ac:dyDescent="0.25">
      <c r="A52" s="2" t="s">
        <v>21</v>
      </c>
      <c r="B52" s="1" t="s">
        <v>56</v>
      </c>
      <c r="C52" s="1" t="s">
        <v>183</v>
      </c>
      <c r="D52" s="18">
        <v>33264636.728000011</v>
      </c>
      <c r="E52" s="18">
        <v>31685393.768160004</v>
      </c>
      <c r="F52" s="18">
        <v>32736842.800000008</v>
      </c>
      <c r="G52" s="18">
        <v>31201639.880000003</v>
      </c>
      <c r="H52" s="18">
        <v>25986091.631999992</v>
      </c>
      <c r="I52" s="1">
        <v>32222128.294040009</v>
      </c>
      <c r="J52" s="1">
        <v>-19.353273642056323</v>
      </c>
      <c r="K52" s="1">
        <v>-10.471502333919931</v>
      </c>
      <c r="L52" s="1">
        <v>-8.8817713081363916</v>
      </c>
      <c r="M52" s="66">
        <v>-9.7744</v>
      </c>
      <c r="N52" s="1">
        <f t="shared" si="11"/>
        <v>-20.245902333919929</v>
      </c>
      <c r="O52" s="41">
        <f t="shared" si="12"/>
        <v>25698467.669718288</v>
      </c>
      <c r="P52" s="41">
        <f t="shared" si="13"/>
        <v>25986091.631999992</v>
      </c>
      <c r="Q52" s="1">
        <f t="shared" si="15"/>
        <v>1.1068380976826691</v>
      </c>
      <c r="V52">
        <f t="shared" si="14"/>
        <v>-1.106838097682669E-2</v>
      </c>
    </row>
    <row r="53" spans="1:23" ht="15.75" x14ac:dyDescent="0.25">
      <c r="A53" s="13" t="s">
        <v>27</v>
      </c>
      <c r="B53" s="1" t="s">
        <v>57</v>
      </c>
      <c r="C53" s="1" t="s">
        <v>184</v>
      </c>
      <c r="D53" s="18">
        <v>28258348.390000001</v>
      </c>
      <c r="E53" s="18">
        <v>30515258.920000002</v>
      </c>
      <c r="F53" s="18">
        <v>30187192.210000001</v>
      </c>
      <c r="G53" s="18">
        <v>28987478.309999999</v>
      </c>
      <c r="H53" s="18">
        <v>26009814.719999999</v>
      </c>
      <c r="I53" s="1">
        <v>29487069.457500003</v>
      </c>
      <c r="J53" s="1">
        <v>-11.792473112703876</v>
      </c>
      <c r="K53" s="1">
        <v>-8.2612614383211351</v>
      </c>
      <c r="L53" s="1">
        <v>-3.5312116743827406</v>
      </c>
      <c r="M53" s="65">
        <v>-3.0600999999999998</v>
      </c>
      <c r="N53" s="1">
        <f t="shared" si="11"/>
        <v>-11.321361438321135</v>
      </c>
      <c r="O53" s="41">
        <f t="shared" si="12"/>
        <v>26148731.74664763</v>
      </c>
      <c r="P53" s="41">
        <f t="shared" si="13"/>
        <v>26009814.719999999</v>
      </c>
      <c r="Q53" s="1">
        <f>((O53-H53)/H53)*100</f>
        <v>0.53409464136171703</v>
      </c>
      <c r="V53">
        <f t="shared" si="14"/>
        <v>5.3409464136171701E-3</v>
      </c>
    </row>
    <row r="54" spans="1:23" ht="15.75" x14ac:dyDescent="0.25">
      <c r="A54" s="13"/>
      <c r="B54" s="1" t="s">
        <v>58</v>
      </c>
      <c r="C54" s="1" t="s">
        <v>133</v>
      </c>
      <c r="D54" s="18">
        <v>32988765.829999998</v>
      </c>
      <c r="E54" s="18">
        <v>31713502.140000001</v>
      </c>
      <c r="F54" s="18">
        <v>30089571.289999999</v>
      </c>
      <c r="G54" s="18">
        <v>23894816.870000001</v>
      </c>
      <c r="H54" s="18">
        <v>24792648.940000001</v>
      </c>
      <c r="I54" s="1">
        <v>29671664.032499999</v>
      </c>
      <c r="J54" s="1">
        <v>-16.44334839851216</v>
      </c>
      <c r="K54" s="1">
        <v>-12.100568081853563</v>
      </c>
      <c r="L54" s="1">
        <v>-4.3427803166585974</v>
      </c>
      <c r="M54" s="66">
        <v>-5.5480999999999998</v>
      </c>
      <c r="N54" s="1">
        <f t="shared" si="11"/>
        <v>-17.648668081853565</v>
      </c>
      <c r="O54" s="41">
        <f t="shared" si="12"/>
        <v>24435010.533041347</v>
      </c>
      <c r="P54" s="41">
        <f t="shared" si="13"/>
        <v>24792648.940000001</v>
      </c>
      <c r="Q54" s="1">
        <f>-((O54-H54)/H54)*100</f>
        <v>1.442517932731453</v>
      </c>
      <c r="V54">
        <f t="shared" si="14"/>
        <v>-1.4425179327314531E-2</v>
      </c>
    </row>
    <row r="55" spans="1:23" ht="15.75" x14ac:dyDescent="0.25">
      <c r="A55" s="2" t="s">
        <v>21</v>
      </c>
      <c r="B55" s="22" t="s">
        <v>30</v>
      </c>
      <c r="C55" s="1" t="s">
        <v>185</v>
      </c>
      <c r="D55" s="18">
        <v>32770227.68</v>
      </c>
      <c r="E55" s="18">
        <v>30045391.120000005</v>
      </c>
      <c r="F55" s="18">
        <v>28826716.32</v>
      </c>
      <c r="G55" s="18">
        <v>22574331.095999993</v>
      </c>
      <c r="H55" s="18">
        <v>23546634.488000005</v>
      </c>
      <c r="I55" s="1">
        <v>28554166.553999998</v>
      </c>
      <c r="J55" s="1">
        <v>-17.536957545337685</v>
      </c>
      <c r="K55" s="1">
        <v>-4.1531216977287055</v>
      </c>
      <c r="L55" s="1">
        <v>-13.38383584760898</v>
      </c>
      <c r="M55" s="66">
        <v>-9.5020000000000007</v>
      </c>
      <c r="N55" s="1">
        <f t="shared" si="11"/>
        <v>-13.655121697728706</v>
      </c>
      <c r="O55" s="41">
        <f t="shared" si="12"/>
        <v>24655060.361279152</v>
      </c>
      <c r="P55" s="41">
        <f t="shared" si="13"/>
        <v>23546634.488000005</v>
      </c>
      <c r="Q55" s="1">
        <f>((O55-H55)/H55)*100</f>
        <v>4.7073643320196368</v>
      </c>
      <c r="V55">
        <f t="shared" si="14"/>
        <v>4.7073643320196368E-2</v>
      </c>
    </row>
    <row r="56" spans="1:23" ht="15.75" x14ac:dyDescent="0.25">
      <c r="A56" s="13" t="s">
        <v>63</v>
      </c>
      <c r="B56" s="22" t="s">
        <v>64</v>
      </c>
      <c r="C56" s="1" t="s">
        <v>186</v>
      </c>
      <c r="D56" s="18">
        <v>31781409.335999999</v>
      </c>
      <c r="E56" s="18">
        <v>29018456.952000003</v>
      </c>
      <c r="F56" s="18">
        <v>23904977.280000001</v>
      </c>
      <c r="G56" s="18">
        <v>24557871.024000008</v>
      </c>
      <c r="H56" s="18">
        <v>22710128.848000001</v>
      </c>
      <c r="I56" s="1">
        <v>27315678.648000002</v>
      </c>
      <c r="J56" s="1">
        <v>-16.860462664496932</v>
      </c>
      <c r="K56" s="1">
        <v>-14.729437062818983</v>
      </c>
      <c r="L56" s="1">
        <v>-2.1310256016779494</v>
      </c>
      <c r="M56" s="66">
        <v>-3</v>
      </c>
      <c r="N56" s="1">
        <f t="shared" si="11"/>
        <v>-17.729437062818981</v>
      </c>
      <c r="O56" s="41">
        <f t="shared" si="12"/>
        <v>22472762.593820959</v>
      </c>
      <c r="P56" s="41">
        <f t="shared" si="13"/>
        <v>22710128.848000001</v>
      </c>
      <c r="Q56" s="1">
        <f>-((O56-H56)/H56)*100</f>
        <v>1.0451999447812284</v>
      </c>
      <c r="V56">
        <f t="shared" si="14"/>
        <v>-1.0451999447812284E-2</v>
      </c>
    </row>
    <row r="57" spans="1:23" ht="15.75" x14ac:dyDescent="0.25">
      <c r="A57" s="13" t="s">
        <v>31</v>
      </c>
      <c r="B57" s="23" t="s">
        <v>65</v>
      </c>
      <c r="C57" s="1" t="s">
        <v>187</v>
      </c>
      <c r="D57" s="18">
        <v>23174758.050000001</v>
      </c>
      <c r="E57" s="18">
        <v>30251428.73</v>
      </c>
      <c r="F57" s="18">
        <v>29853482.469999999</v>
      </c>
      <c r="G57" s="18">
        <v>29008793.579999998</v>
      </c>
      <c r="H57" s="18">
        <v>25031135.780000001</v>
      </c>
      <c r="I57" s="1">
        <v>28072115.7075</v>
      </c>
      <c r="J57" s="1">
        <v>-10.832742210048467</v>
      </c>
      <c r="K57" s="1">
        <v>-6.7678605279049853</v>
      </c>
      <c r="L57" s="1">
        <v>-4.0648816821434819</v>
      </c>
      <c r="M57" s="65">
        <v>-3.0640000000000001</v>
      </c>
      <c r="N57" s="1">
        <f t="shared" si="11"/>
        <v>-9.8318605279049862</v>
      </c>
      <c r="O57" s="41">
        <f t="shared" si="12"/>
        <v>25312104.443906493</v>
      </c>
      <c r="P57" s="41">
        <f t="shared" si="13"/>
        <v>25031135.780000001</v>
      </c>
      <c r="Q57" s="1">
        <f>((O57-H57)/H57)*100</f>
        <v>1.1224766881372903</v>
      </c>
      <c r="V57">
        <f t="shared" si="14"/>
        <v>1.1224766881372902E-2</v>
      </c>
    </row>
    <row r="58" spans="1:23" ht="15.75" x14ac:dyDescent="0.25">
      <c r="A58" s="7" t="s">
        <v>32</v>
      </c>
      <c r="B58" s="22"/>
      <c r="C58" s="1"/>
      <c r="D58" s="18"/>
      <c r="E58" s="18"/>
      <c r="F58" s="18"/>
      <c r="G58" s="18"/>
      <c r="H58" s="18"/>
      <c r="I58" s="1"/>
      <c r="J58" s="1"/>
      <c r="K58" s="1"/>
      <c r="L58" s="1"/>
      <c r="M58" s="1"/>
      <c r="N58" s="1"/>
      <c r="O58" s="1"/>
      <c r="P58" s="40" t="s">
        <v>96</v>
      </c>
      <c r="Q58" s="40">
        <f>SUM(Q44:Q57)/14</f>
        <v>1.4449806606350204</v>
      </c>
      <c r="R58" s="39" t="s">
        <v>198</v>
      </c>
      <c r="S58" s="39">
        <f>SQRT(SUMSQ(Q44:Q57)/COUNTA(Q44:Q57))</f>
        <v>1.9813496115820006</v>
      </c>
      <c r="T58" s="39" t="s">
        <v>199</v>
      </c>
      <c r="U58" s="39">
        <f>RSQ(O44:O57,P44:P57)</f>
        <v>0.93508206015835715</v>
      </c>
      <c r="V58" s="39" t="s">
        <v>200</v>
      </c>
      <c r="W58" s="39">
        <f t="array" ref="W58">AVERAGE(ABS(V44:V57))</f>
        <v>1.4449806606350205E-2</v>
      </c>
    </row>
    <row r="59" spans="1:23" ht="15.75" x14ac:dyDescent="0.25">
      <c r="A59" s="17"/>
      <c r="B59" s="17"/>
      <c r="C59" s="17"/>
      <c r="D59" s="35"/>
      <c r="E59" s="35"/>
      <c r="F59" s="35"/>
      <c r="G59" s="35"/>
      <c r="H59" s="35"/>
      <c r="I59" s="17"/>
      <c r="J59" s="17"/>
      <c r="K59" s="17"/>
      <c r="L59" s="17"/>
      <c r="M59" s="17"/>
      <c r="N59" s="17"/>
      <c r="O59" s="17"/>
      <c r="P59" s="17"/>
      <c r="Q59" s="17"/>
    </row>
    <row r="60" spans="1:23" ht="15.75" x14ac:dyDescent="0.25">
      <c r="A60" s="36" t="s">
        <v>195</v>
      </c>
      <c r="B60" s="17"/>
      <c r="C60" s="17"/>
      <c r="D60" s="35"/>
      <c r="E60" s="35"/>
      <c r="F60" s="35"/>
      <c r="G60" s="35"/>
      <c r="H60" s="35"/>
      <c r="I60" s="17"/>
      <c r="J60" s="17"/>
      <c r="K60" s="17"/>
      <c r="L60" s="17"/>
      <c r="M60" s="17"/>
      <c r="N60" s="17"/>
      <c r="O60" s="17"/>
      <c r="P60" s="17"/>
      <c r="Q60" s="17"/>
    </row>
    <row r="61" spans="1:23" ht="15.75" x14ac:dyDescent="0.25">
      <c r="A61" s="2" t="s">
        <v>0</v>
      </c>
      <c r="B61" s="2" t="s">
        <v>1</v>
      </c>
      <c r="C61" s="3" t="s">
        <v>9</v>
      </c>
      <c r="D61" s="53" t="s">
        <v>8</v>
      </c>
      <c r="E61" s="54"/>
      <c r="F61" s="54"/>
      <c r="G61" s="54"/>
      <c r="H61" s="54"/>
      <c r="I61" s="55" t="s">
        <v>59</v>
      </c>
      <c r="J61" s="55" t="s">
        <v>60</v>
      </c>
      <c r="K61" s="55" t="s">
        <v>62</v>
      </c>
      <c r="L61" s="55" t="s">
        <v>61</v>
      </c>
      <c r="M61" s="5" t="s">
        <v>10</v>
      </c>
      <c r="N61" s="4" t="s">
        <v>12</v>
      </c>
      <c r="O61" s="20" t="s">
        <v>13</v>
      </c>
      <c r="P61" s="6" t="s">
        <v>14</v>
      </c>
      <c r="Q61" s="5" t="s">
        <v>15</v>
      </c>
    </row>
    <row r="62" spans="1:23" ht="15.75" x14ac:dyDescent="0.25">
      <c r="A62" s="7"/>
      <c r="B62" s="7"/>
      <c r="C62" s="8" t="s">
        <v>2</v>
      </c>
      <c r="D62" s="9" t="s">
        <v>3</v>
      </c>
      <c r="E62" s="9" t="s">
        <v>4</v>
      </c>
      <c r="F62" s="9" t="s">
        <v>5</v>
      </c>
      <c r="G62" s="9" t="s">
        <v>6</v>
      </c>
      <c r="H62" s="9" t="s">
        <v>7</v>
      </c>
      <c r="I62" s="56"/>
      <c r="J62" s="56"/>
      <c r="K62" s="56"/>
      <c r="L62" s="56"/>
      <c r="M62" s="10" t="s">
        <v>11</v>
      </c>
      <c r="N62" s="11" t="s">
        <v>60</v>
      </c>
      <c r="O62" s="21" t="s">
        <v>166</v>
      </c>
      <c r="P62" s="12" t="s">
        <v>167</v>
      </c>
      <c r="Q62" s="10" t="s">
        <v>16</v>
      </c>
    </row>
    <row r="63" spans="1:23" ht="15.75" x14ac:dyDescent="0.25">
      <c r="A63" s="2" t="s">
        <v>17</v>
      </c>
      <c r="B63" s="1" t="s">
        <v>19</v>
      </c>
      <c r="C63" s="1" t="s">
        <v>178</v>
      </c>
      <c r="D63" s="18">
        <v>31962075.063999999</v>
      </c>
      <c r="E63" s="18">
        <v>31389832.191999998</v>
      </c>
      <c r="F63" s="18">
        <v>30887111.496000003</v>
      </c>
      <c r="G63" s="18">
        <v>27674658.719999999</v>
      </c>
      <c r="H63" s="18">
        <v>25001165.223999992</v>
      </c>
      <c r="I63" s="1">
        <v>30478419.368000001</v>
      </c>
      <c r="J63" s="1">
        <v>-17.9709258471281</v>
      </c>
      <c r="K63" s="1">
        <v>-8.0090081078371149</v>
      </c>
      <c r="L63" s="1">
        <v>-9.9619177392909855</v>
      </c>
      <c r="M63" s="64">
        <v>-6.4047000000000001</v>
      </c>
      <c r="N63" s="1">
        <f>M63+K63</f>
        <v>-14.413708107837115</v>
      </c>
      <c r="O63" s="41">
        <f>I63+((N63*I63)/100)</f>
        <v>26085348.964413986</v>
      </c>
      <c r="P63" s="41">
        <f>H63</f>
        <v>25001165.223999992</v>
      </c>
      <c r="Q63" s="1">
        <f>((O63-H63)/H63)*100</f>
        <v>4.3365328403702801</v>
      </c>
      <c r="V63">
        <f>(O63-P63)/P63</f>
        <v>4.3365328403702802E-2</v>
      </c>
    </row>
    <row r="64" spans="1:23" ht="15.75" x14ac:dyDescent="0.25">
      <c r="A64" s="7" t="s">
        <v>18</v>
      </c>
      <c r="B64" s="1" t="s">
        <v>20</v>
      </c>
      <c r="C64" s="1" t="s">
        <v>174</v>
      </c>
      <c r="D64" s="18">
        <v>27235140.030000001</v>
      </c>
      <c r="E64" s="18">
        <v>28261723.059999999</v>
      </c>
      <c r="F64" s="18">
        <v>29261317.649999999</v>
      </c>
      <c r="G64" s="18">
        <v>25243722.100000001</v>
      </c>
      <c r="H64" s="18">
        <v>24512817.800000001</v>
      </c>
      <c r="I64" s="1">
        <v>27500475.710000001</v>
      </c>
      <c r="J64" s="1">
        <v>-10.864022650028552</v>
      </c>
      <c r="K64" s="1">
        <v>-7.2588762167099778</v>
      </c>
      <c r="L64" s="1">
        <v>-3.6051464333185743</v>
      </c>
      <c r="M64" s="65">
        <v>-3.0472000000000001</v>
      </c>
      <c r="N64" s="1">
        <f t="shared" ref="N64:N76" si="16">M64+K64</f>
        <v>-10.306076216709979</v>
      </c>
      <c r="O64" s="41">
        <f t="shared" ref="O64:O76" si="17">I64+((N64*I64)/100)</f>
        <v>24666255.723369587</v>
      </c>
      <c r="P64" s="41">
        <f t="shared" ref="P64:P76" si="18">H64</f>
        <v>24512817.800000001</v>
      </c>
      <c r="Q64" s="1">
        <f>((O64-H64)/H64)*100</f>
        <v>0.62594975665990737</v>
      </c>
      <c r="V64">
        <f t="shared" ref="V64:V76" si="19">(O64-P64)/P64</f>
        <v>6.2594975665990742E-3</v>
      </c>
    </row>
    <row r="65" spans="1:23" ht="15.75" x14ac:dyDescent="0.25">
      <c r="A65" s="2" t="s">
        <v>21</v>
      </c>
      <c r="B65" s="1" t="s">
        <v>23</v>
      </c>
      <c r="C65" s="1" t="s">
        <v>175</v>
      </c>
      <c r="D65" s="18">
        <v>31957263.199999999</v>
      </c>
      <c r="E65" s="18">
        <v>31021032.050000001</v>
      </c>
      <c r="F65" s="18">
        <v>30016114.25</v>
      </c>
      <c r="G65" s="18">
        <v>25024126.18</v>
      </c>
      <c r="H65" s="18">
        <v>24126175.350000001</v>
      </c>
      <c r="I65" s="1">
        <v>29504633.920000002</v>
      </c>
      <c r="J65" s="1">
        <v>-18.229199469423545</v>
      </c>
      <c r="K65" s="1">
        <v>-9.6552800346627414</v>
      </c>
      <c r="L65" s="1">
        <v>-8.5739194347608034</v>
      </c>
      <c r="M65" s="65">
        <v>-8.9253</v>
      </c>
      <c r="N65" s="1">
        <f t="shared" si="16"/>
        <v>-18.580580034662741</v>
      </c>
      <c r="O65" s="41">
        <f t="shared" si="17"/>
        <v>24022501.80056015</v>
      </c>
      <c r="P65" s="41">
        <f t="shared" si="18"/>
        <v>24126175.350000001</v>
      </c>
      <c r="Q65" s="1">
        <f>-((O65-H65)/H65)*100</f>
        <v>0.42971398464883986</v>
      </c>
      <c r="V65">
        <f t="shared" si="19"/>
        <v>-4.2971398464883986E-3</v>
      </c>
    </row>
    <row r="66" spans="1:23" ht="15.75" x14ac:dyDescent="0.25">
      <c r="A66" s="13" t="s">
        <v>22</v>
      </c>
      <c r="B66" s="1" t="s">
        <v>82</v>
      </c>
      <c r="C66" s="1" t="s">
        <v>176</v>
      </c>
      <c r="D66" s="18">
        <v>30050152.559999999</v>
      </c>
      <c r="E66" s="18">
        <v>26598716.23</v>
      </c>
      <c r="F66" s="18">
        <v>26845795.579999998</v>
      </c>
      <c r="G66" s="18">
        <v>27003129.120000001</v>
      </c>
      <c r="H66" s="18">
        <v>25429718.52</v>
      </c>
      <c r="I66" s="1">
        <v>27624448.372500002</v>
      </c>
      <c r="J66" s="1">
        <v>-7.9448820946768484</v>
      </c>
      <c r="K66" s="1">
        <v>-4.1994223233244732</v>
      </c>
      <c r="L66" s="1">
        <v>-3.7454597713523752</v>
      </c>
      <c r="M66" s="65">
        <v>-3.0484</v>
      </c>
      <c r="N66" s="1">
        <f t="shared" si="16"/>
        <v>-7.2478223233244732</v>
      </c>
      <c r="O66" s="41">
        <f t="shared" si="17"/>
        <v>25622277.436662704</v>
      </c>
      <c r="P66" s="41">
        <f t="shared" si="18"/>
        <v>25429718.52</v>
      </c>
      <c r="Q66" s="1">
        <f>((O66-H66)/H66)*100</f>
        <v>0.75722000820127133</v>
      </c>
      <c r="V66">
        <f t="shared" si="19"/>
        <v>7.5722000820127129E-3</v>
      </c>
    </row>
    <row r="67" spans="1:23" ht="15.75" x14ac:dyDescent="0.25">
      <c r="A67" s="13"/>
      <c r="B67" s="1" t="s">
        <v>25</v>
      </c>
      <c r="C67" s="1" t="s">
        <v>179</v>
      </c>
      <c r="D67" s="18">
        <v>30101526.079999998</v>
      </c>
      <c r="E67" s="18">
        <v>28313128.739999998</v>
      </c>
      <c r="F67" s="18">
        <v>28015138.359999999</v>
      </c>
      <c r="G67" s="18">
        <v>24826248.280000001</v>
      </c>
      <c r="H67" s="18">
        <v>24516278.84</v>
      </c>
      <c r="I67" s="1">
        <v>27814010.364999998</v>
      </c>
      <c r="J67" s="1">
        <v>-11.856368361571217</v>
      </c>
      <c r="K67" s="1">
        <v>-7.4351603774193862</v>
      </c>
      <c r="L67" s="1">
        <v>-4.421207984151831</v>
      </c>
      <c r="M67" s="65">
        <v>-6.1835000000000004</v>
      </c>
      <c r="N67" s="1">
        <f t="shared" si="16"/>
        <v>-13.618660377419387</v>
      </c>
      <c r="O67" s="41">
        <f t="shared" si="17"/>
        <v>24026114.756050423</v>
      </c>
      <c r="P67" s="41">
        <f t="shared" si="18"/>
        <v>24516278.84</v>
      </c>
      <c r="Q67" s="1">
        <f>-((O67-H67)/H67)*100</f>
        <v>1.9993412831878898</v>
      </c>
      <c r="V67">
        <f t="shared" si="19"/>
        <v>-1.9993412831878898E-2</v>
      </c>
    </row>
    <row r="68" spans="1:23" ht="15.75" x14ac:dyDescent="0.25">
      <c r="A68" s="13"/>
      <c r="B68" s="1" t="s">
        <v>26</v>
      </c>
      <c r="C68" s="1" t="s">
        <v>181</v>
      </c>
      <c r="D68" s="18">
        <v>22303982.776000001</v>
      </c>
      <c r="E68" s="18">
        <v>29489179.431999993</v>
      </c>
      <c r="F68" s="18">
        <v>31781409.335999999</v>
      </c>
      <c r="G68" s="18">
        <v>29018456.952000003</v>
      </c>
      <c r="H68" s="18">
        <v>23904977.280000001</v>
      </c>
      <c r="I68" s="1">
        <v>28148257.123999998</v>
      </c>
      <c r="J68" s="1">
        <v>-15.074751610045714</v>
      </c>
      <c r="K68" s="1">
        <v>-3.0757634413158739</v>
      </c>
      <c r="L68" s="1">
        <v>-11.998988168729841</v>
      </c>
      <c r="M68" s="65">
        <v>-12</v>
      </c>
      <c r="N68" s="1">
        <f t="shared" si="16"/>
        <v>-15.075763441315875</v>
      </c>
      <c r="O68" s="41">
        <f t="shared" si="17"/>
        <v>23904692.467132416</v>
      </c>
      <c r="P68" s="41">
        <f t="shared" si="18"/>
        <v>23904977.280000001</v>
      </c>
      <c r="Q68" s="1">
        <f>((O68-H68)/H68)*100*-1</f>
        <v>1.1914375163362197E-3</v>
      </c>
      <c r="V68">
        <f t="shared" si="19"/>
        <v>-1.1914375163362197E-5</v>
      </c>
    </row>
    <row r="69" spans="1:23" ht="15.75" x14ac:dyDescent="0.25">
      <c r="A69" s="13"/>
      <c r="B69" s="1" t="s">
        <v>35</v>
      </c>
      <c r="C69" s="1" t="s">
        <v>180</v>
      </c>
      <c r="D69" s="18">
        <v>28929860.432</v>
      </c>
      <c r="E69" s="18">
        <v>23254492.015999991</v>
      </c>
      <c r="F69" s="18">
        <v>25535227.792000003</v>
      </c>
      <c r="G69" s="18">
        <v>22107167.400000002</v>
      </c>
      <c r="H69" s="18">
        <v>20221836.344000001</v>
      </c>
      <c r="I69" s="1">
        <v>24956686.91</v>
      </c>
      <c r="J69" s="1">
        <v>-18.972272173285841</v>
      </c>
      <c r="K69" s="1">
        <v>-8.4619821154868404</v>
      </c>
      <c r="L69" s="1">
        <v>-10.510290057799001</v>
      </c>
      <c r="M69" s="65">
        <v>-11.942600000000001</v>
      </c>
      <c r="N69" s="1">
        <f t="shared" si="16"/>
        <v>-20.404582115486839</v>
      </c>
      <c r="O69" s="41">
        <f t="shared" si="17"/>
        <v>19864379.236144096</v>
      </c>
      <c r="P69" s="41">
        <f t="shared" si="18"/>
        <v>20221836.344000001</v>
      </c>
      <c r="Q69" s="1">
        <f>-((O69-H69)/H69)*100</f>
        <v>1.7676787694999103</v>
      </c>
      <c r="V69">
        <f t="shared" si="19"/>
        <v>-1.7676787694999103E-2</v>
      </c>
    </row>
    <row r="70" spans="1:23" ht="15.75" x14ac:dyDescent="0.25">
      <c r="A70" s="13"/>
      <c r="B70" s="1" t="s">
        <v>36</v>
      </c>
      <c r="C70" s="1" t="s">
        <v>182</v>
      </c>
      <c r="D70" s="18">
        <v>23254492.015999991</v>
      </c>
      <c r="E70" s="18">
        <v>25535227.792000003</v>
      </c>
      <c r="F70" s="18">
        <v>22107167.400000002</v>
      </c>
      <c r="G70" s="18">
        <v>20221836.344000001</v>
      </c>
      <c r="H70" s="18">
        <v>20717922.855999995</v>
      </c>
      <c r="I70" s="1">
        <v>22779680.888</v>
      </c>
      <c r="J70" s="1">
        <v>-9.0508644178861566</v>
      </c>
      <c r="K70" s="1">
        <v>-2.6012736104602441</v>
      </c>
      <c r="L70" s="1">
        <v>-6.4495908074259125</v>
      </c>
      <c r="M70" s="66">
        <v>-6</v>
      </c>
      <c r="N70" s="1">
        <f t="shared" si="16"/>
        <v>-8.6012736104602432</v>
      </c>
      <c r="O70" s="41">
        <f t="shared" si="17"/>
        <v>20820338.207233399</v>
      </c>
      <c r="P70" s="41">
        <f t="shared" si="18"/>
        <v>20717922.855999995</v>
      </c>
      <c r="Q70" s="1">
        <f>((O70-H70)/H70)*100</f>
        <v>0.49433213911086765</v>
      </c>
      <c r="V70">
        <f t="shared" si="19"/>
        <v>4.9433213911086763E-3</v>
      </c>
    </row>
    <row r="71" spans="1:23" ht="15.75" x14ac:dyDescent="0.25">
      <c r="A71" s="2" t="s">
        <v>21</v>
      </c>
      <c r="B71" s="1" t="s">
        <v>56</v>
      </c>
      <c r="C71" s="1" t="s">
        <v>183</v>
      </c>
      <c r="D71" s="18">
        <v>33264636.728000011</v>
      </c>
      <c r="E71" s="18">
        <v>31685393.768160004</v>
      </c>
      <c r="F71" s="18">
        <v>32736842.800000008</v>
      </c>
      <c r="G71" s="18">
        <v>31201639.880000003</v>
      </c>
      <c r="H71" s="18">
        <v>25986091.631999992</v>
      </c>
      <c r="I71" s="1">
        <v>32222128.294040009</v>
      </c>
      <c r="J71" s="1">
        <v>-19.353273642056323</v>
      </c>
      <c r="K71" s="1">
        <v>-10.471502333919931</v>
      </c>
      <c r="L71" s="1">
        <v>-8.8817713081363916</v>
      </c>
      <c r="M71" s="66">
        <v>-9.7714999999999996</v>
      </c>
      <c r="N71" s="1">
        <f t="shared" si="16"/>
        <v>-20.243002333919932</v>
      </c>
      <c r="O71" s="41">
        <f t="shared" si="17"/>
        <v>25699402.111438815</v>
      </c>
      <c r="P71" s="41">
        <f t="shared" si="18"/>
        <v>25986091.631999992</v>
      </c>
      <c r="Q71" s="1">
        <f>-((O71-H71)/H71)*100</f>
        <v>1.1032421674683079</v>
      </c>
      <c r="V71">
        <f t="shared" si="19"/>
        <v>-1.1032421674683079E-2</v>
      </c>
    </row>
    <row r="72" spans="1:23" ht="15.75" x14ac:dyDescent="0.25">
      <c r="A72" s="13" t="s">
        <v>27</v>
      </c>
      <c r="B72" s="1" t="s">
        <v>57</v>
      </c>
      <c r="C72" s="1" t="s">
        <v>184</v>
      </c>
      <c r="D72" s="18">
        <v>28258348.390000001</v>
      </c>
      <c r="E72" s="18">
        <v>30515258.920000002</v>
      </c>
      <c r="F72" s="18">
        <v>30187192.210000001</v>
      </c>
      <c r="G72" s="18">
        <v>28987478.309999999</v>
      </c>
      <c r="H72" s="18">
        <v>26009814.719999999</v>
      </c>
      <c r="I72" s="1">
        <v>29487069.457500003</v>
      </c>
      <c r="J72" s="1">
        <v>-11.792473112703876</v>
      </c>
      <c r="K72" s="1">
        <v>-8.2612614383211351</v>
      </c>
      <c r="L72" s="1">
        <v>-3.5312116743827406</v>
      </c>
      <c r="M72" s="65">
        <v>-3.0470000000000002</v>
      </c>
      <c r="N72" s="1">
        <f t="shared" si="16"/>
        <v>-11.308261438321136</v>
      </c>
      <c r="O72" s="41">
        <f t="shared" si="17"/>
        <v>26152594.55274656</v>
      </c>
      <c r="P72" s="41">
        <f t="shared" si="18"/>
        <v>26009814.719999999</v>
      </c>
      <c r="Q72" s="1">
        <f>((O72-H72)/H72)*100</f>
        <v>0.5489459816750345</v>
      </c>
      <c r="V72">
        <f t="shared" si="19"/>
        <v>5.4894598167503448E-3</v>
      </c>
    </row>
    <row r="73" spans="1:23" ht="15.75" x14ac:dyDescent="0.25">
      <c r="A73" s="13"/>
      <c r="B73" s="1" t="s">
        <v>58</v>
      </c>
      <c r="C73" s="1" t="s">
        <v>133</v>
      </c>
      <c r="D73" s="18">
        <v>32988765.829999998</v>
      </c>
      <c r="E73" s="18">
        <v>31713502.140000001</v>
      </c>
      <c r="F73" s="18">
        <v>30089571.289999999</v>
      </c>
      <c r="G73" s="18">
        <v>23894816.870000001</v>
      </c>
      <c r="H73" s="18">
        <v>24792648.940000001</v>
      </c>
      <c r="I73" s="1">
        <v>29671664.032499999</v>
      </c>
      <c r="J73" s="1">
        <v>-16.44334839851216</v>
      </c>
      <c r="K73" s="1">
        <v>-12.100568081853563</v>
      </c>
      <c r="L73" s="1">
        <v>-4.3427803166585974</v>
      </c>
      <c r="M73" s="66">
        <v>-5.5480999999999998</v>
      </c>
      <c r="N73" s="1">
        <f t="shared" si="16"/>
        <v>-17.648668081853565</v>
      </c>
      <c r="O73" s="41">
        <f t="shared" si="17"/>
        <v>24435010.533041347</v>
      </c>
      <c r="P73" s="41">
        <f t="shared" si="18"/>
        <v>24792648.940000001</v>
      </c>
      <c r="Q73" s="1">
        <f>-((O73-H73)/H73)*100</f>
        <v>1.442517932731453</v>
      </c>
      <c r="V73">
        <f t="shared" si="19"/>
        <v>-1.4425179327314531E-2</v>
      </c>
    </row>
    <row r="74" spans="1:23" ht="15.75" x14ac:dyDescent="0.25">
      <c r="A74" s="2" t="s">
        <v>21</v>
      </c>
      <c r="B74" s="22" t="s">
        <v>30</v>
      </c>
      <c r="C74" s="1" t="s">
        <v>185</v>
      </c>
      <c r="D74" s="18">
        <v>32770227.68</v>
      </c>
      <c r="E74" s="18">
        <v>30045391.120000005</v>
      </c>
      <c r="F74" s="18">
        <v>28826716.32</v>
      </c>
      <c r="G74" s="18">
        <v>22574331.095999993</v>
      </c>
      <c r="H74" s="18">
        <v>23546634.488000005</v>
      </c>
      <c r="I74" s="1">
        <v>28554166.553999998</v>
      </c>
      <c r="J74" s="1">
        <v>-17.536957545337685</v>
      </c>
      <c r="K74" s="1">
        <v>-4.1531216977287055</v>
      </c>
      <c r="L74" s="1">
        <v>-13.38383584760898</v>
      </c>
      <c r="M74" s="66">
        <v>-9.4697999999999993</v>
      </c>
      <c r="N74" s="1">
        <f t="shared" si="16"/>
        <v>-13.622921697728705</v>
      </c>
      <c r="O74" s="41">
        <f t="shared" si="17"/>
        <v>24664254.802909538</v>
      </c>
      <c r="P74" s="41">
        <f t="shared" si="18"/>
        <v>23546634.488000005</v>
      </c>
      <c r="Q74" s="1">
        <f>((O74-H74)/H74)*100</f>
        <v>4.7464121273004078</v>
      </c>
      <c r="V74">
        <f t="shared" si="19"/>
        <v>4.7464121273004083E-2</v>
      </c>
    </row>
    <row r="75" spans="1:23" ht="15.75" x14ac:dyDescent="0.25">
      <c r="A75" s="13" t="s">
        <v>63</v>
      </c>
      <c r="B75" s="22" t="s">
        <v>64</v>
      </c>
      <c r="C75" s="1" t="s">
        <v>186</v>
      </c>
      <c r="D75" s="18">
        <v>31781409.335999999</v>
      </c>
      <c r="E75" s="18">
        <v>29018456.952000003</v>
      </c>
      <c r="F75" s="18">
        <v>23904977.280000001</v>
      </c>
      <c r="G75" s="18">
        <v>24557871.024000008</v>
      </c>
      <c r="H75" s="18">
        <v>22710128.848000001</v>
      </c>
      <c r="I75" s="1">
        <v>27315678.648000002</v>
      </c>
      <c r="J75" s="1">
        <v>-16.860462664496932</v>
      </c>
      <c r="K75" s="1">
        <v>-14.729437062818983</v>
      </c>
      <c r="L75" s="1">
        <v>-2.1310256016779494</v>
      </c>
      <c r="M75" s="66">
        <v>-3</v>
      </c>
      <c r="N75" s="1">
        <f t="shared" si="16"/>
        <v>-17.729437062818981</v>
      </c>
      <c r="O75" s="41">
        <f t="shared" si="17"/>
        <v>22472762.593820959</v>
      </c>
      <c r="P75" s="41">
        <f t="shared" si="18"/>
        <v>22710128.848000001</v>
      </c>
      <c r="Q75" s="1">
        <f>-((O75-H75)/H75)*100</f>
        <v>1.0451999447812284</v>
      </c>
      <c r="V75">
        <f t="shared" si="19"/>
        <v>-1.0451999447812284E-2</v>
      </c>
    </row>
    <row r="76" spans="1:23" ht="15.75" x14ac:dyDescent="0.25">
      <c r="A76" s="13" t="s">
        <v>31</v>
      </c>
      <c r="B76" s="23" t="s">
        <v>65</v>
      </c>
      <c r="C76" s="1" t="s">
        <v>187</v>
      </c>
      <c r="D76" s="18">
        <v>23174758.050000001</v>
      </c>
      <c r="E76" s="18">
        <v>30251428.73</v>
      </c>
      <c r="F76" s="18">
        <v>29853482.469999999</v>
      </c>
      <c r="G76" s="18">
        <v>29008793.579999998</v>
      </c>
      <c r="H76" s="18">
        <v>25031135.780000001</v>
      </c>
      <c r="I76" s="1">
        <v>28072115.7075</v>
      </c>
      <c r="J76" s="1">
        <v>-10.832742210048467</v>
      </c>
      <c r="K76" s="1">
        <v>-6.7678605279049853</v>
      </c>
      <c r="L76" s="1">
        <v>-4.0648816821434819</v>
      </c>
      <c r="M76" s="65">
        <v>-3.0476000000000001</v>
      </c>
      <c r="N76" s="1">
        <f t="shared" si="16"/>
        <v>-9.8154605279049854</v>
      </c>
      <c r="O76" s="41">
        <f t="shared" si="17"/>
        <v>25316708.270882521</v>
      </c>
      <c r="P76" s="41">
        <f t="shared" si="18"/>
        <v>25031135.780000001</v>
      </c>
      <c r="Q76" s="1">
        <f>((O76-H76)/H76)*100</f>
        <v>1.1408690895708113</v>
      </c>
      <c r="V76">
        <f t="shared" si="19"/>
        <v>1.1408690895708114E-2</v>
      </c>
    </row>
    <row r="77" spans="1:23" ht="15.75" x14ac:dyDescent="0.25">
      <c r="A77" s="7" t="s">
        <v>32</v>
      </c>
      <c r="B77" s="22"/>
      <c r="C77" s="1"/>
      <c r="D77" s="18"/>
      <c r="E77" s="18"/>
      <c r="F77" s="18"/>
      <c r="G77" s="18"/>
      <c r="H77" s="18"/>
      <c r="I77" s="1"/>
      <c r="J77" s="1"/>
      <c r="K77" s="1"/>
      <c r="L77" s="1"/>
      <c r="M77" s="1"/>
      <c r="N77" s="1"/>
      <c r="O77" s="1"/>
      <c r="P77" s="40" t="s">
        <v>96</v>
      </c>
      <c r="Q77" s="40">
        <f>SUM(Q63:Q76)/14</f>
        <v>1.4599391044801817</v>
      </c>
      <c r="R77" s="39" t="s">
        <v>198</v>
      </c>
      <c r="S77" s="39">
        <f>SQRT(SUMSQ(Q63:Q76)/COUNTA(Q63:Q76))</f>
        <v>1.9972048708918777</v>
      </c>
      <c r="T77" s="39" t="s">
        <v>199</v>
      </c>
      <c r="U77" s="39">
        <f>RSQ(O63:O76,P63:P76)</f>
        <v>0.93434617852427138</v>
      </c>
      <c r="V77" s="39" t="s">
        <v>200</v>
      </c>
      <c r="W77" s="39">
        <f t="array" ref="W77">AVERAGE(ABS(V63:V76))</f>
        <v>1.4599391044801818E-2</v>
      </c>
    </row>
    <row r="79" spans="1:23" ht="15.75" x14ac:dyDescent="0.25">
      <c r="A79" s="36" t="s">
        <v>253</v>
      </c>
      <c r="B79" s="17"/>
      <c r="C79" s="17"/>
      <c r="D79" s="35"/>
      <c r="E79" s="35"/>
      <c r="F79" s="35"/>
      <c r="G79" s="35"/>
      <c r="H79" s="35"/>
      <c r="I79" s="17"/>
      <c r="J79" s="17"/>
      <c r="K79" s="17"/>
      <c r="L79" s="17"/>
      <c r="M79" s="17"/>
      <c r="N79" s="17"/>
      <c r="O79" s="17"/>
      <c r="P79" s="17"/>
      <c r="Q79" s="17"/>
    </row>
    <row r="80" spans="1:23" ht="15.75" x14ac:dyDescent="0.25">
      <c r="A80" s="2" t="s">
        <v>0</v>
      </c>
      <c r="B80" s="2" t="s">
        <v>1</v>
      </c>
      <c r="C80" s="3" t="s">
        <v>9</v>
      </c>
      <c r="D80" s="53" t="s">
        <v>8</v>
      </c>
      <c r="E80" s="54"/>
      <c r="F80" s="54"/>
      <c r="G80" s="54"/>
      <c r="H80" s="54"/>
      <c r="I80" s="55" t="s">
        <v>59</v>
      </c>
      <c r="J80" s="55" t="s">
        <v>60</v>
      </c>
      <c r="K80" s="55" t="s">
        <v>62</v>
      </c>
      <c r="L80" s="55" t="s">
        <v>61</v>
      </c>
      <c r="M80" s="5" t="s">
        <v>10</v>
      </c>
      <c r="N80" s="4" t="s">
        <v>12</v>
      </c>
      <c r="O80" s="20" t="s">
        <v>13</v>
      </c>
      <c r="P80" s="6" t="s">
        <v>14</v>
      </c>
      <c r="Q80" s="5" t="s">
        <v>15</v>
      </c>
    </row>
    <row r="81" spans="1:23" ht="15.75" x14ac:dyDescent="0.25">
      <c r="A81" s="7"/>
      <c r="B81" s="7"/>
      <c r="C81" s="8" t="s">
        <v>2</v>
      </c>
      <c r="D81" s="9" t="s">
        <v>3</v>
      </c>
      <c r="E81" s="9" t="s">
        <v>4</v>
      </c>
      <c r="F81" s="9" t="s">
        <v>5</v>
      </c>
      <c r="G81" s="9" t="s">
        <v>6</v>
      </c>
      <c r="H81" s="9" t="s">
        <v>7</v>
      </c>
      <c r="I81" s="56"/>
      <c r="J81" s="56"/>
      <c r="K81" s="56"/>
      <c r="L81" s="56"/>
      <c r="M81" s="10" t="s">
        <v>11</v>
      </c>
      <c r="N81" s="11" t="s">
        <v>60</v>
      </c>
      <c r="O81" s="21" t="s">
        <v>166</v>
      </c>
      <c r="P81" s="12" t="s">
        <v>167</v>
      </c>
      <c r="Q81" s="10" t="s">
        <v>16</v>
      </c>
    </row>
    <row r="82" spans="1:23" ht="15.75" x14ac:dyDescent="0.25">
      <c r="A82" s="2" t="s">
        <v>17</v>
      </c>
      <c r="B82" s="1" t="s">
        <v>19</v>
      </c>
      <c r="C82" s="1" t="s">
        <v>178</v>
      </c>
      <c r="D82" s="18">
        <v>31962075.063999999</v>
      </c>
      <c r="E82" s="18">
        <v>31389832.191999998</v>
      </c>
      <c r="F82" s="18">
        <v>30887111.496000003</v>
      </c>
      <c r="G82" s="18">
        <v>27674658.719999999</v>
      </c>
      <c r="H82" s="18">
        <v>25001165.223999992</v>
      </c>
      <c r="I82" s="1">
        <v>30478419.368000001</v>
      </c>
      <c r="J82" s="1">
        <v>-17.9709258471281</v>
      </c>
      <c r="K82" s="1">
        <v>-8.0090081078371149</v>
      </c>
      <c r="L82" s="1">
        <v>-9.9619177392909855</v>
      </c>
      <c r="M82" s="64">
        <v>-6.4359000000000002</v>
      </c>
      <c r="N82" s="1">
        <f>M82+K82</f>
        <v>-14.444908107837115</v>
      </c>
      <c r="O82" s="41">
        <f>I82+((N82*I82)/100)</f>
        <v>26075839.69757117</v>
      </c>
      <c r="P82" s="41">
        <f>H82</f>
        <v>25001165.223999992</v>
      </c>
      <c r="Q82" s="1">
        <f>((O82-H82)/H82)*100</f>
        <v>4.2984975457845405</v>
      </c>
      <c r="V82">
        <f>(O82-P82)/P82</f>
        <v>4.2984975457845402E-2</v>
      </c>
    </row>
    <row r="83" spans="1:23" ht="15.75" x14ac:dyDescent="0.25">
      <c r="A83" s="7" t="s">
        <v>18</v>
      </c>
      <c r="B83" s="1" t="s">
        <v>20</v>
      </c>
      <c r="C83" s="1" t="s">
        <v>174</v>
      </c>
      <c r="D83" s="18">
        <v>27235140.030000001</v>
      </c>
      <c r="E83" s="18">
        <v>28261723.059999999</v>
      </c>
      <c r="F83" s="18">
        <v>29261317.649999999</v>
      </c>
      <c r="G83" s="18">
        <v>25243722.100000001</v>
      </c>
      <c r="H83" s="18">
        <v>24512817.800000001</v>
      </c>
      <c r="I83" s="1">
        <v>27500475.710000001</v>
      </c>
      <c r="J83" s="1">
        <v>-10.864022650028552</v>
      </c>
      <c r="K83" s="1">
        <v>-7.2588762167099778</v>
      </c>
      <c r="L83" s="1">
        <v>-3.6051464333185743</v>
      </c>
      <c r="M83" s="65">
        <v>-3.0520999999999998</v>
      </c>
      <c r="N83" s="1">
        <f t="shared" ref="N83:N95" si="20">M83+K83</f>
        <v>-10.310976216709978</v>
      </c>
      <c r="O83" s="41">
        <f t="shared" ref="O83:O95" si="21">I83+((N83*I83)/100)</f>
        <v>24664908.200059798</v>
      </c>
      <c r="P83" s="41">
        <f t="shared" ref="P83:P95" si="22">H83</f>
        <v>24512817.800000001</v>
      </c>
      <c r="Q83" s="1">
        <f>((O83-H83)/H83)*100</f>
        <v>0.62045253752833285</v>
      </c>
      <c r="V83">
        <f t="shared" ref="V83:V95" si="23">(O83-P83)/P83</f>
        <v>6.2045253752833285E-3</v>
      </c>
    </row>
    <row r="84" spans="1:23" ht="15.75" x14ac:dyDescent="0.25">
      <c r="A84" s="2" t="s">
        <v>21</v>
      </c>
      <c r="B84" s="1" t="s">
        <v>23</v>
      </c>
      <c r="C84" s="1" t="s">
        <v>175</v>
      </c>
      <c r="D84" s="18">
        <v>31957263.199999999</v>
      </c>
      <c r="E84" s="18">
        <v>31021032.050000001</v>
      </c>
      <c r="F84" s="18">
        <v>30016114.25</v>
      </c>
      <c r="G84" s="18">
        <v>25024126.18</v>
      </c>
      <c r="H84" s="18">
        <v>24126175.350000001</v>
      </c>
      <c r="I84" s="1">
        <v>29504633.920000002</v>
      </c>
      <c r="J84" s="1">
        <v>-18.229199469423545</v>
      </c>
      <c r="K84" s="1">
        <v>-9.6552800346627414</v>
      </c>
      <c r="L84" s="1">
        <v>-8.5739194347608034</v>
      </c>
      <c r="M84" s="65">
        <v>-8.8910999999999998</v>
      </c>
      <c r="N84" s="1">
        <f t="shared" si="20"/>
        <v>-18.546380034662739</v>
      </c>
      <c r="O84" s="41">
        <f t="shared" si="21"/>
        <v>24032592.385360792</v>
      </c>
      <c r="P84" s="41">
        <f t="shared" si="22"/>
        <v>24126175.350000001</v>
      </c>
      <c r="Q84" s="1">
        <f>-((O84-H84)/H84)*100</f>
        <v>0.38788976404919151</v>
      </c>
      <c r="V84">
        <f t="shared" si="23"/>
        <v>-3.8788976404919152E-3</v>
      </c>
    </row>
    <row r="85" spans="1:23" ht="15.75" x14ac:dyDescent="0.25">
      <c r="A85" s="13" t="s">
        <v>22</v>
      </c>
      <c r="B85" s="1" t="s">
        <v>82</v>
      </c>
      <c r="C85" s="1" t="s">
        <v>176</v>
      </c>
      <c r="D85" s="18">
        <v>30050152.559999999</v>
      </c>
      <c r="E85" s="18">
        <v>26598716.23</v>
      </c>
      <c r="F85" s="18">
        <v>26845795.579999998</v>
      </c>
      <c r="G85" s="18">
        <v>27003129.120000001</v>
      </c>
      <c r="H85" s="18">
        <v>25429718.52</v>
      </c>
      <c r="I85" s="1">
        <v>27624448.372500002</v>
      </c>
      <c r="J85" s="1">
        <v>-7.9448820946768484</v>
      </c>
      <c r="K85" s="1">
        <v>-4.1994223233244732</v>
      </c>
      <c r="L85" s="1">
        <v>-3.7454597713523752</v>
      </c>
      <c r="M85" s="65">
        <v>-3.052</v>
      </c>
      <c r="N85" s="1">
        <f t="shared" si="20"/>
        <v>-7.2514223233244728</v>
      </c>
      <c r="O85" s="41">
        <f t="shared" si="21"/>
        <v>25621282.956521295</v>
      </c>
      <c r="P85" s="41">
        <f t="shared" si="22"/>
        <v>25429718.52</v>
      </c>
      <c r="Q85" s="1">
        <f>((O85-H85)/H85)*100</f>
        <v>0.75330930765369508</v>
      </c>
      <c r="V85">
        <f t="shared" si="23"/>
        <v>7.5330930765369506E-3</v>
      </c>
    </row>
    <row r="86" spans="1:23" ht="15.75" x14ac:dyDescent="0.25">
      <c r="A86" s="13"/>
      <c r="B86" s="1" t="s">
        <v>25</v>
      </c>
      <c r="C86" s="1" t="s">
        <v>179</v>
      </c>
      <c r="D86" s="18">
        <v>30101526.079999998</v>
      </c>
      <c r="E86" s="18">
        <v>28313128.739999998</v>
      </c>
      <c r="F86" s="18">
        <v>28015138.359999999</v>
      </c>
      <c r="G86" s="18">
        <v>24826248.280000001</v>
      </c>
      <c r="H86" s="18">
        <v>24516278.84</v>
      </c>
      <c r="I86" s="1">
        <v>27814010.364999998</v>
      </c>
      <c r="J86" s="1">
        <v>-11.856368361571217</v>
      </c>
      <c r="K86" s="1">
        <v>-7.4351603774193862</v>
      </c>
      <c r="L86" s="1">
        <v>-4.421207984151831</v>
      </c>
      <c r="M86" s="65">
        <v>-6.2005999999999997</v>
      </c>
      <c r="N86" s="1">
        <f t="shared" si="20"/>
        <v>-13.635760377419386</v>
      </c>
      <c r="O86" s="41">
        <f t="shared" si="21"/>
        <v>24021358.560278006</v>
      </c>
      <c r="P86" s="41">
        <f t="shared" si="22"/>
        <v>24516278.84</v>
      </c>
      <c r="Q86" s="1">
        <f>-((O86-H86)/H86)*100</f>
        <v>2.0187414368713141</v>
      </c>
      <c r="V86">
        <f t="shared" si="23"/>
        <v>-2.0187414368713141E-2</v>
      </c>
    </row>
    <row r="87" spans="1:23" ht="15.75" x14ac:dyDescent="0.25">
      <c r="A87" s="13"/>
      <c r="B87" s="1" t="s">
        <v>26</v>
      </c>
      <c r="C87" s="1" t="s">
        <v>181</v>
      </c>
      <c r="D87" s="18">
        <v>22303982.776000001</v>
      </c>
      <c r="E87" s="18">
        <v>29489179.431999993</v>
      </c>
      <c r="F87" s="18">
        <v>31781409.335999999</v>
      </c>
      <c r="G87" s="18">
        <v>29018456.952000003</v>
      </c>
      <c r="H87" s="18">
        <v>23904977.280000001</v>
      </c>
      <c r="I87" s="1">
        <v>28148257.123999998</v>
      </c>
      <c r="J87" s="1">
        <v>-15.074751610045714</v>
      </c>
      <c r="K87" s="1">
        <v>-3.0757634413158739</v>
      </c>
      <c r="L87" s="1">
        <v>-11.998988168729841</v>
      </c>
      <c r="M87" s="65">
        <v>-12</v>
      </c>
      <c r="N87" s="1">
        <f t="shared" si="20"/>
        <v>-15.075763441315875</v>
      </c>
      <c r="O87" s="41">
        <f t="shared" si="21"/>
        <v>23904692.467132416</v>
      </c>
      <c r="P87" s="41">
        <f t="shared" si="22"/>
        <v>23904977.280000001</v>
      </c>
      <c r="Q87" s="1">
        <f>((O87-H87)/H87)*100*-1</f>
        <v>1.1914375163362197E-3</v>
      </c>
      <c r="V87">
        <f t="shared" si="23"/>
        <v>-1.1914375163362197E-5</v>
      </c>
    </row>
    <row r="88" spans="1:23" ht="15.75" x14ac:dyDescent="0.25">
      <c r="A88" s="13"/>
      <c r="B88" s="1" t="s">
        <v>35</v>
      </c>
      <c r="C88" s="1" t="s">
        <v>180</v>
      </c>
      <c r="D88" s="18">
        <v>28929860.432</v>
      </c>
      <c r="E88" s="18">
        <v>23254492.015999991</v>
      </c>
      <c r="F88" s="18">
        <v>25535227.792000003</v>
      </c>
      <c r="G88" s="18">
        <v>22107167.400000002</v>
      </c>
      <c r="H88" s="18">
        <v>20221836.344000001</v>
      </c>
      <c r="I88" s="1">
        <v>24956686.91</v>
      </c>
      <c r="J88" s="1">
        <v>-18.972272173285841</v>
      </c>
      <c r="K88" s="1">
        <v>-8.4619821154868404</v>
      </c>
      <c r="L88" s="1">
        <v>-10.510290057799001</v>
      </c>
      <c r="M88" s="65">
        <v>-11.895300000000001</v>
      </c>
      <c r="N88" s="1">
        <f t="shared" si="20"/>
        <v>-20.357282115486839</v>
      </c>
      <c r="O88" s="41">
        <f t="shared" si="21"/>
        <v>19876183.749052525</v>
      </c>
      <c r="P88" s="41">
        <f t="shared" si="22"/>
        <v>20221836.344000001</v>
      </c>
      <c r="Q88" s="1">
        <f>-((O88-H88)/H88)*100</f>
        <v>1.7093036906612795</v>
      </c>
      <c r="V88">
        <f t="shared" si="23"/>
        <v>-1.7093036906612794E-2</v>
      </c>
    </row>
    <row r="89" spans="1:23" ht="15.75" x14ac:dyDescent="0.25">
      <c r="A89" s="13"/>
      <c r="B89" s="1" t="s">
        <v>36</v>
      </c>
      <c r="C89" s="1" t="s">
        <v>182</v>
      </c>
      <c r="D89" s="18">
        <v>23254492.015999991</v>
      </c>
      <c r="E89" s="18">
        <v>25535227.792000003</v>
      </c>
      <c r="F89" s="18">
        <v>22107167.400000002</v>
      </c>
      <c r="G89" s="18">
        <v>20221836.344000001</v>
      </c>
      <c r="H89" s="18">
        <v>20717922.855999995</v>
      </c>
      <c r="I89" s="1">
        <v>22779680.888</v>
      </c>
      <c r="J89" s="1">
        <v>-9.0508644178861566</v>
      </c>
      <c r="K89" s="1">
        <v>-2.6012736104602441</v>
      </c>
      <c r="L89" s="1">
        <v>-6.4495908074259125</v>
      </c>
      <c r="M89" s="66">
        <v>-6</v>
      </c>
      <c r="N89" s="1">
        <f t="shared" si="20"/>
        <v>-8.6012736104602432</v>
      </c>
      <c r="O89" s="41">
        <f t="shared" si="21"/>
        <v>20820338.207233399</v>
      </c>
      <c r="P89" s="41">
        <f t="shared" si="22"/>
        <v>20717922.855999995</v>
      </c>
      <c r="Q89" s="1">
        <f>((O89-H89)/H89)*100</f>
        <v>0.49433213911086765</v>
      </c>
      <c r="V89">
        <f t="shared" si="23"/>
        <v>4.9433213911086763E-3</v>
      </c>
    </row>
    <row r="90" spans="1:23" ht="15.75" x14ac:dyDescent="0.25">
      <c r="A90" s="2" t="s">
        <v>21</v>
      </c>
      <c r="B90" s="1" t="s">
        <v>56</v>
      </c>
      <c r="C90" s="1" t="s">
        <v>183</v>
      </c>
      <c r="D90" s="18">
        <v>33264636.728000011</v>
      </c>
      <c r="E90" s="18">
        <v>31685393.768160004</v>
      </c>
      <c r="F90" s="18">
        <v>32736842.800000008</v>
      </c>
      <c r="G90" s="18">
        <v>31201639.880000003</v>
      </c>
      <c r="H90" s="18">
        <v>25986091.631999992</v>
      </c>
      <c r="I90" s="1">
        <v>32222128.294040009</v>
      </c>
      <c r="J90" s="1">
        <v>-19.353273642056323</v>
      </c>
      <c r="K90" s="1">
        <v>-10.471502333919931</v>
      </c>
      <c r="L90" s="1">
        <v>-8.8817713081363916</v>
      </c>
      <c r="M90" s="66">
        <v>-9.6978000000000009</v>
      </c>
      <c r="N90" s="1">
        <f t="shared" si="20"/>
        <v>-20.16930233391993</v>
      </c>
      <c r="O90" s="41">
        <f t="shared" si="21"/>
        <v>25723149.819991522</v>
      </c>
      <c r="P90" s="41">
        <f t="shared" si="22"/>
        <v>25986091.631999992</v>
      </c>
      <c r="Q90" s="1">
        <f>-((O90-H90)/H90)*100</f>
        <v>1.0118559409860484</v>
      </c>
      <c r="V90">
        <f t="shared" si="23"/>
        <v>-1.0118559409860483E-2</v>
      </c>
    </row>
    <row r="91" spans="1:23" ht="15.75" x14ac:dyDescent="0.25">
      <c r="A91" s="13" t="s">
        <v>27</v>
      </c>
      <c r="B91" s="1" t="s">
        <v>57</v>
      </c>
      <c r="C91" s="1" t="s">
        <v>184</v>
      </c>
      <c r="D91" s="18">
        <v>28258348.390000001</v>
      </c>
      <c r="E91" s="18">
        <v>30515258.920000002</v>
      </c>
      <c r="F91" s="18">
        <v>30187192.210000001</v>
      </c>
      <c r="G91" s="18">
        <v>28987478.309999999</v>
      </c>
      <c r="H91" s="18">
        <v>26009814.719999999</v>
      </c>
      <c r="I91" s="1">
        <v>29487069.457500003</v>
      </c>
      <c r="J91" s="1">
        <v>-11.792473112703876</v>
      </c>
      <c r="K91" s="1">
        <v>-8.2612614383211351</v>
      </c>
      <c r="L91" s="1">
        <v>-3.5312116743827406</v>
      </c>
      <c r="M91" s="65">
        <v>-3.0472000000000001</v>
      </c>
      <c r="N91" s="1">
        <f t="shared" si="20"/>
        <v>-11.308461438321135</v>
      </c>
      <c r="O91" s="41">
        <f t="shared" si="21"/>
        <v>26152535.578607649</v>
      </c>
      <c r="P91" s="41">
        <f t="shared" si="22"/>
        <v>26009814.719999999</v>
      </c>
      <c r="Q91" s="1">
        <f>((O91-H91)/H91)*100</f>
        <v>0.54871924365499591</v>
      </c>
      <c r="V91">
        <f t="shared" si="23"/>
        <v>5.4871924365499595E-3</v>
      </c>
    </row>
    <row r="92" spans="1:23" ht="15.75" x14ac:dyDescent="0.25">
      <c r="A92" s="13"/>
      <c r="B92" s="1" t="s">
        <v>58</v>
      </c>
      <c r="C92" s="1" t="s">
        <v>133</v>
      </c>
      <c r="D92" s="18">
        <v>32988765.829999998</v>
      </c>
      <c r="E92" s="18">
        <v>31713502.140000001</v>
      </c>
      <c r="F92" s="18">
        <v>30089571.289999999</v>
      </c>
      <c r="G92" s="18">
        <v>23894816.870000001</v>
      </c>
      <c r="H92" s="18">
        <v>24792648.940000001</v>
      </c>
      <c r="I92" s="1">
        <v>29671664.032499999</v>
      </c>
      <c r="J92" s="1">
        <v>-16.44334839851216</v>
      </c>
      <c r="K92" s="1">
        <v>-12.100568081853563</v>
      </c>
      <c r="L92" s="1">
        <v>-4.3427803166585974</v>
      </c>
      <c r="M92" s="66">
        <v>-5.5480999999999998</v>
      </c>
      <c r="N92" s="1">
        <f t="shared" si="20"/>
        <v>-17.648668081853565</v>
      </c>
      <c r="O92" s="41">
        <f t="shared" si="21"/>
        <v>24435010.533041347</v>
      </c>
      <c r="P92" s="41">
        <f t="shared" si="22"/>
        <v>24792648.940000001</v>
      </c>
      <c r="Q92" s="1">
        <f>-((O92-H92)/H92)*100</f>
        <v>1.442517932731453</v>
      </c>
      <c r="V92">
        <f t="shared" si="23"/>
        <v>-1.4425179327314531E-2</v>
      </c>
    </row>
    <row r="93" spans="1:23" ht="15.75" x14ac:dyDescent="0.25">
      <c r="A93" s="2" t="s">
        <v>21</v>
      </c>
      <c r="B93" s="22" t="s">
        <v>30</v>
      </c>
      <c r="C93" s="1" t="s">
        <v>185</v>
      </c>
      <c r="D93" s="18">
        <v>32770227.68</v>
      </c>
      <c r="E93" s="18">
        <v>30045391.120000005</v>
      </c>
      <c r="F93" s="18">
        <v>28826716.32</v>
      </c>
      <c r="G93" s="18">
        <v>22574331.095999993</v>
      </c>
      <c r="H93" s="18">
        <v>23546634.488000005</v>
      </c>
      <c r="I93" s="1">
        <v>28554166.553999998</v>
      </c>
      <c r="J93" s="1">
        <v>-17.536957545337685</v>
      </c>
      <c r="K93" s="1">
        <v>-4.1531216977287055</v>
      </c>
      <c r="L93" s="1">
        <v>-13.38383584760898</v>
      </c>
      <c r="M93" s="66">
        <v>-9.4629999999999992</v>
      </c>
      <c r="N93" s="1">
        <f t="shared" si="20"/>
        <v>-13.616121697728705</v>
      </c>
      <c r="O93" s="41">
        <f t="shared" si="21"/>
        <v>24666196.486235213</v>
      </c>
      <c r="P93" s="41">
        <f t="shared" si="22"/>
        <v>23546634.488000005</v>
      </c>
      <c r="Q93" s="1">
        <f>((O93-H93)/H93)*100</f>
        <v>4.7546582455584714</v>
      </c>
      <c r="V93">
        <f t="shared" si="23"/>
        <v>4.7546582455584713E-2</v>
      </c>
    </row>
    <row r="94" spans="1:23" ht="15.75" x14ac:dyDescent="0.25">
      <c r="A94" s="13" t="s">
        <v>63</v>
      </c>
      <c r="B94" s="22" t="s">
        <v>64</v>
      </c>
      <c r="C94" s="1" t="s">
        <v>186</v>
      </c>
      <c r="D94" s="18">
        <v>31781409.335999999</v>
      </c>
      <c r="E94" s="18">
        <v>29018456.952000003</v>
      </c>
      <c r="F94" s="18">
        <v>23904977.280000001</v>
      </c>
      <c r="G94" s="18">
        <v>24557871.024000008</v>
      </c>
      <c r="H94" s="18">
        <v>22710128.848000001</v>
      </c>
      <c r="I94" s="1">
        <v>27315678.648000002</v>
      </c>
      <c r="J94" s="1">
        <v>-16.860462664496932</v>
      </c>
      <c r="K94" s="1">
        <v>-14.729437062818983</v>
      </c>
      <c r="L94" s="1">
        <v>-2.1310256016779494</v>
      </c>
      <c r="M94" s="66">
        <v>-3</v>
      </c>
      <c r="N94" s="1">
        <f t="shared" si="20"/>
        <v>-17.729437062818981</v>
      </c>
      <c r="O94" s="41">
        <f t="shared" si="21"/>
        <v>22472762.593820959</v>
      </c>
      <c r="P94" s="41">
        <f t="shared" si="22"/>
        <v>22710128.848000001</v>
      </c>
      <c r="Q94" s="1">
        <f>-((O94-H94)/H94)*100</f>
        <v>1.0451999447812284</v>
      </c>
      <c r="V94">
        <f t="shared" si="23"/>
        <v>-1.0451999447812284E-2</v>
      </c>
    </row>
    <row r="95" spans="1:23" ht="15.75" x14ac:dyDescent="0.25">
      <c r="A95" s="13" t="s">
        <v>31</v>
      </c>
      <c r="B95" s="23" t="s">
        <v>65</v>
      </c>
      <c r="C95" s="1" t="s">
        <v>187</v>
      </c>
      <c r="D95" s="18">
        <v>23174758.050000001</v>
      </c>
      <c r="E95" s="18">
        <v>30251428.73</v>
      </c>
      <c r="F95" s="18">
        <v>29853482.469999999</v>
      </c>
      <c r="G95" s="18">
        <v>29008793.579999998</v>
      </c>
      <c r="H95" s="18">
        <v>25031135.780000001</v>
      </c>
      <c r="I95" s="1">
        <v>28072115.7075</v>
      </c>
      <c r="J95" s="1">
        <v>-10.832742210048467</v>
      </c>
      <c r="K95" s="1">
        <v>-6.7678605279049853</v>
      </c>
      <c r="L95" s="1">
        <v>-4.0648816821434819</v>
      </c>
      <c r="M95" s="65">
        <v>-3.0491999999999999</v>
      </c>
      <c r="N95" s="1">
        <f t="shared" si="20"/>
        <v>-9.8170605279049852</v>
      </c>
      <c r="O95" s="41">
        <f t="shared" si="21"/>
        <v>25316259.117031202</v>
      </c>
      <c r="P95" s="41">
        <f t="shared" si="22"/>
        <v>25031135.780000001</v>
      </c>
      <c r="Q95" s="1">
        <f>((O95-H95)/H95)*100</f>
        <v>1.1390747089431532</v>
      </c>
      <c r="V95">
        <f t="shared" si="23"/>
        <v>1.1390747089431533E-2</v>
      </c>
    </row>
    <row r="96" spans="1:23" ht="15.75" x14ac:dyDescent="0.25">
      <c r="A96" s="7" t="s">
        <v>32</v>
      </c>
      <c r="B96" s="22"/>
      <c r="C96" s="1"/>
      <c r="D96" s="18"/>
      <c r="E96" s="18"/>
      <c r="F96" s="18"/>
      <c r="G96" s="18"/>
      <c r="H96" s="18"/>
      <c r="I96" s="1"/>
      <c r="J96" s="1"/>
      <c r="K96" s="1"/>
      <c r="L96" s="1"/>
      <c r="M96" s="1"/>
      <c r="N96" s="1"/>
      <c r="O96" s="1"/>
      <c r="P96" s="40" t="s">
        <v>96</v>
      </c>
      <c r="Q96" s="40">
        <f>SUM(Q82:Q95)/14</f>
        <v>1.4446959911307791</v>
      </c>
      <c r="R96" s="39" t="s">
        <v>198</v>
      </c>
      <c r="S96" s="39">
        <f>SQRT(SUMSQ(Q82:Q95)/COUNTA(Q82:Q95))</f>
        <v>1.9860925394337814</v>
      </c>
      <c r="T96" s="39" t="s">
        <v>199</v>
      </c>
      <c r="U96" s="39">
        <f>RSQ(O82:O95,P82:P95)</f>
        <v>0.93511762219075811</v>
      </c>
      <c r="V96" s="39" t="s">
        <v>200</v>
      </c>
      <c r="W96" s="39">
        <f t="array" ref="W96">AVERAGE(ABS(V82:V95))</f>
        <v>1.4446959911307788E-2</v>
      </c>
    </row>
    <row r="98" spans="1:22" ht="15.75" x14ac:dyDescent="0.25">
      <c r="A98" s="17"/>
      <c r="B98" s="17"/>
      <c r="C98" s="17"/>
      <c r="D98" s="35"/>
      <c r="E98" s="35"/>
      <c r="F98" s="35"/>
      <c r="G98" s="35"/>
      <c r="H98" s="35"/>
      <c r="I98" s="17"/>
      <c r="J98" s="17"/>
      <c r="K98" s="17"/>
      <c r="L98" s="17"/>
      <c r="M98" s="17"/>
      <c r="N98" s="17"/>
      <c r="O98" s="17"/>
      <c r="P98" s="17"/>
      <c r="Q98" s="17"/>
    </row>
    <row r="99" spans="1:22" ht="15.75" x14ac:dyDescent="0.25">
      <c r="A99" s="36" t="s">
        <v>194</v>
      </c>
      <c r="B99" s="17"/>
      <c r="C99" s="17"/>
      <c r="D99" s="35"/>
      <c r="E99" s="35"/>
      <c r="F99" s="35"/>
      <c r="G99" s="35"/>
      <c r="H99" s="35"/>
      <c r="I99" s="17"/>
      <c r="J99" s="17"/>
      <c r="K99" s="17"/>
      <c r="L99" s="17"/>
      <c r="M99" s="17"/>
      <c r="N99" s="17"/>
      <c r="O99" s="17"/>
      <c r="P99" s="17"/>
      <c r="Q99" s="17"/>
    </row>
    <row r="100" spans="1:22" ht="15.75" x14ac:dyDescent="0.25">
      <c r="A100" s="2" t="s">
        <v>0</v>
      </c>
      <c r="B100" s="2" t="s">
        <v>1</v>
      </c>
      <c r="C100" s="3" t="s">
        <v>9</v>
      </c>
      <c r="D100" s="53" t="s">
        <v>8</v>
      </c>
      <c r="E100" s="54"/>
      <c r="F100" s="54"/>
      <c r="G100" s="54"/>
      <c r="H100" s="54"/>
      <c r="I100" s="55" t="s">
        <v>59</v>
      </c>
      <c r="J100" s="55" t="s">
        <v>60</v>
      </c>
      <c r="K100" s="55" t="s">
        <v>62</v>
      </c>
      <c r="L100" s="55" t="s">
        <v>61</v>
      </c>
      <c r="M100" s="5" t="s">
        <v>10</v>
      </c>
      <c r="N100" s="4" t="s">
        <v>12</v>
      </c>
      <c r="O100" s="20" t="s">
        <v>13</v>
      </c>
      <c r="P100" s="6" t="s">
        <v>14</v>
      </c>
      <c r="Q100" s="5" t="s">
        <v>15</v>
      </c>
    </row>
    <row r="101" spans="1:22" ht="15.75" x14ac:dyDescent="0.25">
      <c r="A101" s="7"/>
      <c r="B101" s="7"/>
      <c r="C101" s="8" t="s">
        <v>2</v>
      </c>
      <c r="D101" s="9" t="s">
        <v>3</v>
      </c>
      <c r="E101" s="9" t="s">
        <v>4</v>
      </c>
      <c r="F101" s="9" t="s">
        <v>5</v>
      </c>
      <c r="G101" s="9" t="s">
        <v>6</v>
      </c>
      <c r="H101" s="9" t="s">
        <v>7</v>
      </c>
      <c r="I101" s="56"/>
      <c r="J101" s="56"/>
      <c r="K101" s="56"/>
      <c r="L101" s="56"/>
      <c r="M101" s="10" t="s">
        <v>11</v>
      </c>
      <c r="N101" s="11" t="s">
        <v>60</v>
      </c>
      <c r="O101" s="21" t="s">
        <v>166</v>
      </c>
      <c r="P101" s="12" t="s">
        <v>167</v>
      </c>
      <c r="Q101" s="10" t="s">
        <v>16</v>
      </c>
    </row>
    <row r="102" spans="1:22" ht="15.75" x14ac:dyDescent="0.25">
      <c r="A102" s="2" t="s">
        <v>17</v>
      </c>
      <c r="B102" s="1" t="s">
        <v>19</v>
      </c>
      <c r="C102" s="1" t="s">
        <v>178</v>
      </c>
      <c r="D102" s="18">
        <v>31962075.063999999</v>
      </c>
      <c r="E102" s="18">
        <v>31389832.191999998</v>
      </c>
      <c r="F102" s="18">
        <v>30887111.496000003</v>
      </c>
      <c r="G102" s="18">
        <v>27674658.719999999</v>
      </c>
      <c r="H102" s="18">
        <v>25001165.223999992</v>
      </c>
      <c r="I102" s="1">
        <v>30478419.368000001</v>
      </c>
      <c r="J102" s="1">
        <v>-17.9709258471281</v>
      </c>
      <c r="K102" s="1">
        <v>-8.0090081078371149</v>
      </c>
      <c r="L102" s="1">
        <v>-9.9619177392909855</v>
      </c>
      <c r="M102" s="64">
        <v>-6.4724000000000004</v>
      </c>
      <c r="N102" s="1">
        <f>M102+K102</f>
        <v>-14.481408107837115</v>
      </c>
      <c r="O102" s="41">
        <f>I102+((N102*I102)/100)</f>
        <v>26064715.07450185</v>
      </c>
      <c r="P102" s="41">
        <f>H102</f>
        <v>25001165.223999992</v>
      </c>
      <c r="Q102" s="1">
        <f>((O102-H102)/H102)*100</f>
        <v>4.2540011274390439</v>
      </c>
      <c r="V102">
        <f>(O102-P102)/P102</f>
        <v>4.2540011274390437E-2</v>
      </c>
    </row>
    <row r="103" spans="1:22" ht="15.75" x14ac:dyDescent="0.25">
      <c r="A103" s="7" t="s">
        <v>18</v>
      </c>
      <c r="B103" s="1" t="s">
        <v>20</v>
      </c>
      <c r="C103" s="1" t="s">
        <v>174</v>
      </c>
      <c r="D103" s="18">
        <v>27235140.030000001</v>
      </c>
      <c r="E103" s="18">
        <v>28261723.059999999</v>
      </c>
      <c r="F103" s="18">
        <v>29261317.649999999</v>
      </c>
      <c r="G103" s="18">
        <v>25243722.100000001</v>
      </c>
      <c r="H103" s="18">
        <v>24512817.800000001</v>
      </c>
      <c r="I103" s="1">
        <v>27500475.710000001</v>
      </c>
      <c r="J103" s="1">
        <v>-10.864022650028552</v>
      </c>
      <c r="K103" s="1">
        <v>-7.2588762167099778</v>
      </c>
      <c r="L103" s="1">
        <v>-3.6051464333185743</v>
      </c>
      <c r="M103" s="65">
        <v>-3.0716999999999999</v>
      </c>
      <c r="N103" s="1">
        <f t="shared" ref="N103:N115" si="24">M103+K103</f>
        <v>-10.330576216709979</v>
      </c>
      <c r="O103" s="41">
        <f t="shared" ref="O103:O115" si="25">I103+((N103*I103)/100)</f>
        <v>24659518.106820635</v>
      </c>
      <c r="P103" s="41">
        <f t="shared" ref="P103:P115" si="26">H103</f>
        <v>24512817.800000001</v>
      </c>
      <c r="Q103" s="1">
        <f>((O103-H103)/H103)*100</f>
        <v>0.59846366100201975</v>
      </c>
      <c r="V103">
        <f t="shared" ref="V103:V115" si="27">(O103-P103)/P103</f>
        <v>5.9846366100201973E-3</v>
      </c>
    </row>
    <row r="104" spans="1:22" ht="15.75" x14ac:dyDescent="0.25">
      <c r="A104" s="2" t="s">
        <v>21</v>
      </c>
      <c r="B104" s="1" t="s">
        <v>23</v>
      </c>
      <c r="C104" s="1" t="s">
        <v>175</v>
      </c>
      <c r="D104" s="18">
        <v>31957263.199999999</v>
      </c>
      <c r="E104" s="18">
        <v>31021032.050000001</v>
      </c>
      <c r="F104" s="18">
        <v>30016114.25</v>
      </c>
      <c r="G104" s="18">
        <v>25024126.18</v>
      </c>
      <c r="H104" s="18">
        <v>24126175.350000001</v>
      </c>
      <c r="I104" s="1">
        <v>29504633.920000002</v>
      </c>
      <c r="J104" s="1">
        <v>-18.229199469423545</v>
      </c>
      <c r="K104" s="1">
        <v>-9.6552800346627414</v>
      </c>
      <c r="L104" s="1">
        <v>-8.5739194347608034</v>
      </c>
      <c r="M104" s="65">
        <v>-8.891</v>
      </c>
      <c r="N104" s="1">
        <f t="shared" si="24"/>
        <v>-18.546280034662743</v>
      </c>
      <c r="O104" s="41">
        <f t="shared" si="25"/>
        <v>24032621.889994711</v>
      </c>
      <c r="P104" s="41">
        <f t="shared" si="26"/>
        <v>24126175.350000001</v>
      </c>
      <c r="Q104" s="1">
        <f>-((O104-H104)/H104)*100</f>
        <v>0.3877674710065091</v>
      </c>
      <c r="V104">
        <f t="shared" si="27"/>
        <v>-3.8776747100650912E-3</v>
      </c>
    </row>
    <row r="105" spans="1:22" ht="15.75" x14ac:dyDescent="0.25">
      <c r="A105" s="13" t="s">
        <v>22</v>
      </c>
      <c r="B105" s="1" t="s">
        <v>82</v>
      </c>
      <c r="C105" s="1" t="s">
        <v>176</v>
      </c>
      <c r="D105" s="18">
        <v>30050152.559999999</v>
      </c>
      <c r="E105" s="18">
        <v>26598716.23</v>
      </c>
      <c r="F105" s="18">
        <v>26845795.579999998</v>
      </c>
      <c r="G105" s="18">
        <v>27003129.120000001</v>
      </c>
      <c r="H105" s="18">
        <v>25429718.52</v>
      </c>
      <c r="I105" s="1">
        <v>27624448.372500002</v>
      </c>
      <c r="J105" s="1">
        <v>-7.9448820946768484</v>
      </c>
      <c r="K105" s="1">
        <v>-4.1994223233244732</v>
      </c>
      <c r="L105" s="1">
        <v>-3.7454597713523752</v>
      </c>
      <c r="M105" s="65">
        <v>-3.0722999999999998</v>
      </c>
      <c r="N105" s="1">
        <f t="shared" si="24"/>
        <v>-7.2717223233244734</v>
      </c>
      <c r="O105" s="41">
        <f t="shared" si="25"/>
        <v>25615675.193501674</v>
      </c>
      <c r="P105" s="41">
        <f t="shared" si="26"/>
        <v>25429718.52</v>
      </c>
      <c r="Q105" s="1">
        <f>((O105-H105)/H105)*100</f>
        <v>0.7312573017881524</v>
      </c>
      <c r="V105">
        <f t="shared" si="27"/>
        <v>7.3125730178815245E-3</v>
      </c>
    </row>
    <row r="106" spans="1:22" ht="15.75" x14ac:dyDescent="0.25">
      <c r="A106" s="13"/>
      <c r="B106" s="1" t="s">
        <v>25</v>
      </c>
      <c r="C106" s="1" t="s">
        <v>179</v>
      </c>
      <c r="D106" s="18">
        <v>30101526.079999998</v>
      </c>
      <c r="E106" s="18">
        <v>28313128.739999998</v>
      </c>
      <c r="F106" s="18">
        <v>28015138.359999999</v>
      </c>
      <c r="G106" s="18">
        <v>24826248.280000001</v>
      </c>
      <c r="H106" s="18">
        <v>24516278.84</v>
      </c>
      <c r="I106" s="1">
        <v>27814010.364999998</v>
      </c>
      <c r="J106" s="1">
        <v>-11.856368361571217</v>
      </c>
      <c r="K106" s="1">
        <v>-7.4351603774193862</v>
      </c>
      <c r="L106" s="1">
        <v>-4.421207984151831</v>
      </c>
      <c r="M106" s="65">
        <v>-6.2413999999999996</v>
      </c>
      <c r="N106" s="1">
        <f t="shared" si="24"/>
        <v>-13.676560377419385</v>
      </c>
      <c r="O106" s="41">
        <f t="shared" si="25"/>
        <v>24010010.444049086</v>
      </c>
      <c r="P106" s="41">
        <f t="shared" si="26"/>
        <v>24516278.84</v>
      </c>
      <c r="Q106" s="1">
        <f>-((O106-H106)/H106)*100</f>
        <v>2.0650295228527975</v>
      </c>
      <c r="V106">
        <f t="shared" si="27"/>
        <v>-2.0650295228527977E-2</v>
      </c>
    </row>
    <row r="107" spans="1:22" ht="15.75" x14ac:dyDescent="0.25">
      <c r="A107" s="13"/>
      <c r="B107" s="1" t="s">
        <v>26</v>
      </c>
      <c r="C107" s="1" t="s">
        <v>181</v>
      </c>
      <c r="D107" s="18">
        <v>22303982.776000001</v>
      </c>
      <c r="E107" s="18">
        <v>29489179.431999993</v>
      </c>
      <c r="F107" s="18">
        <v>31781409.335999999</v>
      </c>
      <c r="G107" s="18">
        <v>29018456.952000003</v>
      </c>
      <c r="H107" s="18">
        <v>23904977.280000001</v>
      </c>
      <c r="I107" s="1">
        <v>28148257.123999998</v>
      </c>
      <c r="J107" s="1">
        <v>-15.074751610045714</v>
      </c>
      <c r="K107" s="1">
        <v>-3.0757634413158739</v>
      </c>
      <c r="L107" s="1">
        <v>-11.998988168729841</v>
      </c>
      <c r="M107" s="66">
        <v>-12</v>
      </c>
      <c r="N107" s="1">
        <f t="shared" si="24"/>
        <v>-15.075763441315875</v>
      </c>
      <c r="O107" s="41">
        <f t="shared" si="25"/>
        <v>23904692.467132416</v>
      </c>
      <c r="P107" s="41">
        <f t="shared" si="26"/>
        <v>23904977.280000001</v>
      </c>
      <c r="Q107" s="1">
        <f>((O107-H107)/H107)*100*-1</f>
        <v>1.1914375163362197E-3</v>
      </c>
      <c r="V107">
        <f t="shared" si="27"/>
        <v>-1.1914375163362197E-5</v>
      </c>
    </row>
    <row r="108" spans="1:22" ht="15.75" x14ac:dyDescent="0.25">
      <c r="A108" s="13"/>
      <c r="B108" s="1" t="s">
        <v>35</v>
      </c>
      <c r="C108" s="1" t="s">
        <v>180</v>
      </c>
      <c r="D108" s="18">
        <v>28929860.432</v>
      </c>
      <c r="E108" s="18">
        <v>23254492.015999991</v>
      </c>
      <c r="F108" s="18">
        <v>25535227.792000003</v>
      </c>
      <c r="G108" s="18">
        <v>22107167.400000002</v>
      </c>
      <c r="H108" s="18">
        <v>20221836.344000001</v>
      </c>
      <c r="I108" s="1">
        <v>24956686.91</v>
      </c>
      <c r="J108" s="1">
        <v>-18.972272173285841</v>
      </c>
      <c r="K108" s="1">
        <v>-8.4619821154868404</v>
      </c>
      <c r="L108" s="1">
        <v>-10.510290057799001</v>
      </c>
      <c r="M108" s="65">
        <v>-11.8956</v>
      </c>
      <c r="N108" s="1">
        <f t="shared" si="24"/>
        <v>-20.357582115486842</v>
      </c>
      <c r="O108" s="41">
        <f t="shared" si="25"/>
        <v>19876108.878991794</v>
      </c>
      <c r="P108" s="41">
        <f t="shared" si="26"/>
        <v>20221836.344000001</v>
      </c>
      <c r="Q108" s="1">
        <f>-((O108-H108)/H108)*100</f>
        <v>1.7096739342902807</v>
      </c>
      <c r="V108">
        <f t="shared" si="27"/>
        <v>-1.7096739342902807E-2</v>
      </c>
    </row>
    <row r="109" spans="1:22" ht="15.75" x14ac:dyDescent="0.25">
      <c r="A109" s="13"/>
      <c r="B109" s="1" t="s">
        <v>36</v>
      </c>
      <c r="C109" s="1" t="s">
        <v>182</v>
      </c>
      <c r="D109" s="18">
        <v>23254492.015999991</v>
      </c>
      <c r="E109" s="18">
        <v>25535227.792000003</v>
      </c>
      <c r="F109" s="18">
        <v>22107167.400000002</v>
      </c>
      <c r="G109" s="18">
        <v>20221836.344000001</v>
      </c>
      <c r="H109" s="18">
        <v>20717922.855999995</v>
      </c>
      <c r="I109" s="1">
        <v>22779680.888</v>
      </c>
      <c r="J109" s="1">
        <v>-9.0508644178861566</v>
      </c>
      <c r="K109" s="1">
        <v>-2.6012736104602441</v>
      </c>
      <c r="L109" s="1">
        <v>-6.4495908074259125</v>
      </c>
      <c r="M109" s="66">
        <v>-6</v>
      </c>
      <c r="N109" s="1">
        <f t="shared" si="24"/>
        <v>-8.6012736104602432</v>
      </c>
      <c r="O109" s="41">
        <f t="shared" si="25"/>
        <v>20820338.207233399</v>
      </c>
      <c r="P109" s="41">
        <f t="shared" si="26"/>
        <v>20717922.855999995</v>
      </c>
      <c r="Q109" s="1">
        <f>((O109-H109)/H109)*100</f>
        <v>0.49433213911086765</v>
      </c>
      <c r="V109">
        <f t="shared" si="27"/>
        <v>4.9433213911086763E-3</v>
      </c>
    </row>
    <row r="110" spans="1:22" ht="15.75" x14ac:dyDescent="0.25">
      <c r="A110" s="2" t="s">
        <v>21</v>
      </c>
      <c r="B110" s="1" t="s">
        <v>56</v>
      </c>
      <c r="C110" s="1" t="s">
        <v>183</v>
      </c>
      <c r="D110" s="18">
        <v>33264636.728000011</v>
      </c>
      <c r="E110" s="18">
        <v>31685393.768160004</v>
      </c>
      <c r="F110" s="18">
        <v>32736842.800000008</v>
      </c>
      <c r="G110" s="18">
        <v>31201639.880000003</v>
      </c>
      <c r="H110" s="18">
        <v>25986091.631999992</v>
      </c>
      <c r="I110" s="1">
        <v>32222128.294040009</v>
      </c>
      <c r="J110" s="1">
        <v>-19.353273642056323</v>
      </c>
      <c r="K110" s="1">
        <v>-10.471502333919931</v>
      </c>
      <c r="L110" s="1">
        <v>-8.8817713081363916</v>
      </c>
      <c r="M110" s="66">
        <v>-9.6973000000000003</v>
      </c>
      <c r="N110" s="1">
        <f t="shared" si="24"/>
        <v>-20.168802333919931</v>
      </c>
      <c r="O110" s="41">
        <f t="shared" si="25"/>
        <v>25723310.930632994</v>
      </c>
      <c r="P110" s="41">
        <f t="shared" si="26"/>
        <v>25986091.631999992</v>
      </c>
      <c r="Q110" s="1">
        <f>-((O110-H110)/H110)*100</f>
        <v>1.0112359530180477</v>
      </c>
      <c r="V110">
        <f t="shared" si="27"/>
        <v>-1.0112359530180477E-2</v>
      </c>
    </row>
    <row r="111" spans="1:22" ht="15.75" x14ac:dyDescent="0.25">
      <c r="A111" s="13" t="s">
        <v>27</v>
      </c>
      <c r="B111" s="1" t="s">
        <v>57</v>
      </c>
      <c r="C111" s="1" t="s">
        <v>184</v>
      </c>
      <c r="D111" s="18">
        <v>28258348.390000001</v>
      </c>
      <c r="E111" s="18">
        <v>30515258.920000002</v>
      </c>
      <c r="F111" s="18">
        <v>30187192.210000001</v>
      </c>
      <c r="G111" s="18">
        <v>28987478.309999999</v>
      </c>
      <c r="H111" s="18">
        <v>26009814.719999999</v>
      </c>
      <c r="I111" s="1">
        <v>29487069.457500003</v>
      </c>
      <c r="J111" s="1">
        <v>-11.792473112703876</v>
      </c>
      <c r="K111" s="1">
        <v>-8.2612614383211351</v>
      </c>
      <c r="L111" s="1">
        <v>-3.5312116743827406</v>
      </c>
      <c r="M111" s="65">
        <v>-3.0750000000000002</v>
      </c>
      <c r="N111" s="1">
        <f t="shared" si="24"/>
        <v>-11.336261438321134</v>
      </c>
      <c r="O111" s="41">
        <f t="shared" si="25"/>
        <v>26144338.173298463</v>
      </c>
      <c r="P111" s="41">
        <f t="shared" si="26"/>
        <v>26009814.719999999</v>
      </c>
      <c r="Q111" s="1">
        <f>((O111-H111)/H111)*100</f>
        <v>0.51720265886793837</v>
      </c>
      <c r="V111">
        <f t="shared" si="27"/>
        <v>5.1720265886793836E-3</v>
      </c>
    </row>
    <row r="112" spans="1:22" ht="15.75" x14ac:dyDescent="0.25">
      <c r="A112" s="13"/>
      <c r="B112" s="1" t="s">
        <v>58</v>
      </c>
      <c r="C112" s="1" t="s">
        <v>133</v>
      </c>
      <c r="D112" s="18">
        <v>32988765.829999998</v>
      </c>
      <c r="E112" s="18">
        <v>31713502.140000001</v>
      </c>
      <c r="F112" s="18">
        <v>30089571.289999999</v>
      </c>
      <c r="G112" s="18">
        <v>23894816.870000001</v>
      </c>
      <c r="H112" s="18">
        <v>24792648.940000001</v>
      </c>
      <c r="I112" s="1">
        <v>29671664.032499999</v>
      </c>
      <c r="J112" s="1">
        <v>-16.44334839851216</v>
      </c>
      <c r="K112" s="1">
        <v>-12.100568081853563</v>
      </c>
      <c r="L112" s="1">
        <v>-4.3427803166585974</v>
      </c>
      <c r="M112" s="66">
        <v>-5.5480999999999998</v>
      </c>
      <c r="N112" s="1">
        <f t="shared" si="24"/>
        <v>-17.648668081853565</v>
      </c>
      <c r="O112" s="41">
        <f t="shared" si="25"/>
        <v>24435010.533041347</v>
      </c>
      <c r="P112" s="41">
        <f t="shared" si="26"/>
        <v>24792648.940000001</v>
      </c>
      <c r="Q112" s="1">
        <f>-((O112-H112)/H112)*100</f>
        <v>1.442517932731453</v>
      </c>
      <c r="V112">
        <f t="shared" si="27"/>
        <v>-1.4425179327314531E-2</v>
      </c>
    </row>
    <row r="113" spans="1:23" ht="15.75" x14ac:dyDescent="0.25">
      <c r="A113" s="2" t="s">
        <v>21</v>
      </c>
      <c r="B113" s="22" t="s">
        <v>30</v>
      </c>
      <c r="C113" s="1" t="s">
        <v>185</v>
      </c>
      <c r="D113" s="18">
        <v>32770227.68</v>
      </c>
      <c r="E113" s="18">
        <v>30045391.120000005</v>
      </c>
      <c r="F113" s="18">
        <v>28826716.32</v>
      </c>
      <c r="G113" s="18">
        <v>22574331.095999993</v>
      </c>
      <c r="H113" s="18">
        <v>23546634.488000005</v>
      </c>
      <c r="I113" s="1">
        <v>28554166.553999998</v>
      </c>
      <c r="J113" s="1">
        <v>-17.536957545337685</v>
      </c>
      <c r="K113" s="1">
        <v>-4.1531216977287055</v>
      </c>
      <c r="L113" s="1">
        <v>-13.38383584760898</v>
      </c>
      <c r="M113" s="66">
        <v>-9.4673999999999996</v>
      </c>
      <c r="N113" s="1">
        <f t="shared" si="24"/>
        <v>-13.620521697728705</v>
      </c>
      <c r="O113" s="41">
        <f t="shared" si="25"/>
        <v>24664940.102906834</v>
      </c>
      <c r="P113" s="41">
        <f t="shared" si="26"/>
        <v>23546634.488000005</v>
      </c>
      <c r="Q113" s="1">
        <f>((O113-H113)/H113)*100</f>
        <v>4.7493225219797219</v>
      </c>
      <c r="V113">
        <f t="shared" si="27"/>
        <v>4.7493225219797222E-2</v>
      </c>
    </row>
    <row r="114" spans="1:23" ht="15.75" x14ac:dyDescent="0.25">
      <c r="A114" s="13" t="s">
        <v>63</v>
      </c>
      <c r="B114" s="22" t="s">
        <v>64</v>
      </c>
      <c r="C114" s="1" t="s">
        <v>186</v>
      </c>
      <c r="D114" s="18">
        <v>31781409.335999999</v>
      </c>
      <c r="E114" s="18">
        <v>29018456.952000003</v>
      </c>
      <c r="F114" s="18">
        <v>23904977.280000001</v>
      </c>
      <c r="G114" s="18">
        <v>24557871.024000008</v>
      </c>
      <c r="H114" s="18">
        <v>22710128.848000001</v>
      </c>
      <c r="I114" s="1">
        <v>27315678.648000002</v>
      </c>
      <c r="J114" s="1">
        <v>-16.860462664496932</v>
      </c>
      <c r="K114" s="1">
        <v>-14.729437062818983</v>
      </c>
      <c r="L114" s="1">
        <v>-2.1310256016779494</v>
      </c>
      <c r="M114" s="66">
        <v>-3</v>
      </c>
      <c r="N114" s="1">
        <f t="shared" si="24"/>
        <v>-17.729437062818981</v>
      </c>
      <c r="O114" s="41">
        <f t="shared" si="25"/>
        <v>22472762.593820959</v>
      </c>
      <c r="P114" s="41">
        <f t="shared" si="26"/>
        <v>22710128.848000001</v>
      </c>
      <c r="Q114" s="1">
        <f>-((O114-H114)/H114)*100</f>
        <v>1.0451999447812284</v>
      </c>
      <c r="V114">
        <f t="shared" si="27"/>
        <v>-1.0451999447812284E-2</v>
      </c>
    </row>
    <row r="115" spans="1:23" ht="15.75" x14ac:dyDescent="0.25">
      <c r="A115" s="13" t="s">
        <v>31</v>
      </c>
      <c r="B115" s="23" t="s">
        <v>65</v>
      </c>
      <c r="C115" s="1" t="s">
        <v>187</v>
      </c>
      <c r="D115" s="18">
        <v>23174758.050000001</v>
      </c>
      <c r="E115" s="18">
        <v>30251428.73</v>
      </c>
      <c r="F115" s="18">
        <v>29853482.469999999</v>
      </c>
      <c r="G115" s="18">
        <v>29008793.579999998</v>
      </c>
      <c r="H115" s="18">
        <v>25031135.780000001</v>
      </c>
      <c r="I115" s="1">
        <v>28072115.7075</v>
      </c>
      <c r="J115" s="1">
        <v>-10.832742210048467</v>
      </c>
      <c r="K115" s="1">
        <v>-6.7678605279049853</v>
      </c>
      <c r="L115" s="1">
        <v>-4.0648816821434819</v>
      </c>
      <c r="M115" s="65">
        <v>-3.0716000000000001</v>
      </c>
      <c r="N115" s="1">
        <f t="shared" si="24"/>
        <v>-9.8394605279049863</v>
      </c>
      <c r="O115" s="41">
        <f t="shared" si="25"/>
        <v>25309970.963112723</v>
      </c>
      <c r="P115" s="41">
        <f t="shared" si="26"/>
        <v>25031135.780000001</v>
      </c>
      <c r="Q115" s="1">
        <f>((O115-H115)/H115)*100</f>
        <v>1.1139533801558958</v>
      </c>
      <c r="V115">
        <f t="shared" si="27"/>
        <v>1.1139533801558958E-2</v>
      </c>
    </row>
    <row r="116" spans="1:23" ht="15.75" x14ac:dyDescent="0.25">
      <c r="A116" s="7" t="s">
        <v>32</v>
      </c>
      <c r="B116" s="22"/>
      <c r="C116" s="1"/>
      <c r="D116" s="18"/>
      <c r="E116" s="18"/>
      <c r="F116" s="18"/>
      <c r="G116" s="18"/>
      <c r="H116" s="18"/>
      <c r="I116" s="1"/>
      <c r="J116" s="1"/>
      <c r="K116" s="1"/>
      <c r="L116" s="1"/>
      <c r="M116" s="67"/>
      <c r="N116" s="1"/>
      <c r="O116" s="1"/>
      <c r="P116" s="40" t="s">
        <v>96</v>
      </c>
      <c r="Q116" s="40">
        <f>SUM(Q102:Q115)/14</f>
        <v>1.4372249276100209</v>
      </c>
      <c r="R116" s="39" t="s">
        <v>198</v>
      </c>
      <c r="S116" s="39">
        <f>SQRT(SUMSQ(Q102:Q115)/COUNTA(Q102:Q115))</f>
        <v>1.9790300109377517</v>
      </c>
      <c r="T116" s="39" t="s">
        <v>199</v>
      </c>
      <c r="U116" s="39">
        <f>RSQ(O102:O115,P102:P115)</f>
        <v>0.93522345538272456</v>
      </c>
      <c r="V116" s="39" t="s">
        <v>200</v>
      </c>
      <c r="W116" s="39">
        <f t="array" ref="W116">AVERAGE(ABS(V102:V115))</f>
        <v>1.4372249276100205E-2</v>
      </c>
    </row>
    <row r="117" spans="1:23" ht="15.75" x14ac:dyDescent="0.25">
      <c r="A117" s="17"/>
      <c r="B117" s="17"/>
      <c r="C117" s="17"/>
      <c r="D117" s="35"/>
      <c r="E117" s="35"/>
      <c r="F117" s="35"/>
      <c r="G117" s="35"/>
      <c r="H117" s="35"/>
      <c r="I117" s="17"/>
      <c r="J117" s="17"/>
      <c r="K117" s="17"/>
      <c r="L117" s="17"/>
      <c r="M117" s="17"/>
      <c r="N117" s="17"/>
      <c r="O117" s="17"/>
      <c r="P117" s="17"/>
      <c r="Q117" s="17"/>
    </row>
    <row r="118" spans="1:23" x14ac:dyDescent="0.25">
      <c r="N118" s="43" t="s">
        <v>172</v>
      </c>
      <c r="O118" s="43" t="s">
        <v>205</v>
      </c>
      <c r="P118" s="43" t="s">
        <v>206</v>
      </c>
      <c r="Q118" s="43" t="s">
        <v>170</v>
      </c>
      <c r="R118" s="43" t="s">
        <v>204</v>
      </c>
      <c r="S118" s="43" t="s">
        <v>197</v>
      </c>
    </row>
    <row r="119" spans="1:23" ht="15.75" x14ac:dyDescent="0.25">
      <c r="B119" s="1" t="s">
        <v>157</v>
      </c>
      <c r="M119">
        <v>1</v>
      </c>
      <c r="N119" s="50">
        <v>1.0048280863878072</v>
      </c>
      <c r="O119" s="50">
        <v>1.0048280863878072</v>
      </c>
      <c r="P119" s="50">
        <v>2.6684259547235358</v>
      </c>
      <c r="Q119" s="50">
        <v>1.0618756474156303</v>
      </c>
      <c r="R119" s="50">
        <v>1.006324612123072</v>
      </c>
      <c r="S119" s="50">
        <v>1.0428398400632135</v>
      </c>
    </row>
    <row r="120" spans="1:23" ht="15.75" x14ac:dyDescent="0.25">
      <c r="B120" s="1" t="s">
        <v>158</v>
      </c>
      <c r="M120">
        <v>2</v>
      </c>
      <c r="N120" s="50">
        <v>1.057534479233833</v>
      </c>
      <c r="O120" s="50">
        <v>1.1835478690899248</v>
      </c>
      <c r="P120" s="50">
        <v>0.32698408867190015</v>
      </c>
      <c r="Q120" s="50">
        <v>1.1085107696286991</v>
      </c>
      <c r="R120" s="50">
        <v>1.1851791103825722</v>
      </c>
      <c r="S120" s="50">
        <v>1.0554371690004423</v>
      </c>
    </row>
    <row r="121" spans="1:23" ht="15.75" x14ac:dyDescent="0.25">
      <c r="B121" s="1" t="s">
        <v>97</v>
      </c>
      <c r="M121">
        <v>3</v>
      </c>
      <c r="N121" s="50">
        <v>0.1715501650202669</v>
      </c>
      <c r="O121" s="50">
        <v>0.40217199394597669</v>
      </c>
      <c r="P121" s="50">
        <v>0.43398517647742491</v>
      </c>
      <c r="Q121" s="50">
        <v>0.35011655219608778</v>
      </c>
      <c r="R121" s="50">
        <v>0.20511143798935191</v>
      </c>
      <c r="S121" s="50">
        <v>0.14778429860940637</v>
      </c>
    </row>
    <row r="122" spans="1:23" ht="15.75" x14ac:dyDescent="0.25">
      <c r="B122" s="1" t="s">
        <v>159</v>
      </c>
      <c r="M122">
        <v>4</v>
      </c>
      <c r="N122" s="50">
        <v>2.1899374470763076</v>
      </c>
      <c r="O122" s="50">
        <v>2.0190801711480972</v>
      </c>
      <c r="P122" s="50">
        <v>5.7176076822637336</v>
      </c>
      <c r="Q122" s="50">
        <v>1.9231712294549737</v>
      </c>
      <c r="R122" s="50">
        <v>1.8070947843697966</v>
      </c>
      <c r="S122" s="50">
        <v>1.8762081386908962</v>
      </c>
    </row>
    <row r="123" spans="1:23" ht="15.75" x14ac:dyDescent="0.25">
      <c r="B123" s="1" t="s">
        <v>160</v>
      </c>
      <c r="M123">
        <v>5</v>
      </c>
      <c r="N123" s="50">
        <v>3.0530858564871277</v>
      </c>
      <c r="O123" s="50">
        <v>2.817266886454223</v>
      </c>
      <c r="P123" s="50">
        <v>4.6608665449154083</v>
      </c>
      <c r="Q123" s="50">
        <v>2.8239483245123216</v>
      </c>
      <c r="R123" s="50">
        <v>2.772584769440646</v>
      </c>
      <c r="S123" s="50">
        <v>2.5603894553988877</v>
      </c>
    </row>
    <row r="124" spans="1:23" ht="15.75" x14ac:dyDescent="0.25">
      <c r="B124" s="1" t="s">
        <v>98</v>
      </c>
      <c r="M124">
        <v>6</v>
      </c>
      <c r="N124" s="50">
        <v>6.1848184952322987</v>
      </c>
      <c r="O124" s="50">
        <v>6.2858753555693578</v>
      </c>
      <c r="P124" s="50">
        <v>3.9679429666680903</v>
      </c>
      <c r="Q124" s="50">
        <v>6.2266864268545916</v>
      </c>
      <c r="R124" s="50">
        <v>6.2615940805041443</v>
      </c>
      <c r="S124" s="50">
        <v>6.2180790602012781</v>
      </c>
    </row>
    <row r="125" spans="1:23" ht="15.75" x14ac:dyDescent="0.25">
      <c r="B125" s="1" t="s">
        <v>100</v>
      </c>
      <c r="M125">
        <v>7</v>
      </c>
      <c r="N125" s="50">
        <v>2.4893133438819652</v>
      </c>
      <c r="O125" s="50">
        <v>2.0970080314994237</v>
      </c>
      <c r="P125" s="50">
        <v>2.6572205186102078</v>
      </c>
      <c r="Q125" s="50">
        <v>1.9607282805823554</v>
      </c>
      <c r="R125" s="50">
        <v>1.9061920239115211</v>
      </c>
      <c r="S125" s="50">
        <v>1.8014012188484547</v>
      </c>
    </row>
    <row r="126" spans="1:23" ht="15.75" x14ac:dyDescent="0.25">
      <c r="B126" s="1" t="s">
        <v>99</v>
      </c>
      <c r="M126">
        <v>8</v>
      </c>
      <c r="N126" s="50">
        <v>1.5370343250733263</v>
      </c>
      <c r="O126" s="50">
        <v>1.2266832931445859</v>
      </c>
      <c r="P126" s="50">
        <v>0.97889459168512649</v>
      </c>
      <c r="Q126" s="50">
        <v>1.1375365956571768</v>
      </c>
      <c r="R126" s="50">
        <v>1.149381261756913</v>
      </c>
      <c r="S126" s="50">
        <v>1.0067777159510178</v>
      </c>
    </row>
    <row r="127" spans="1:23" ht="15.75" x14ac:dyDescent="0.25">
      <c r="B127" s="1" t="s">
        <v>161</v>
      </c>
      <c r="M127">
        <v>9</v>
      </c>
      <c r="N127" s="50">
        <v>1.0642233160916577</v>
      </c>
      <c r="O127" s="50">
        <v>0.86751692523365931</v>
      </c>
      <c r="P127" s="50">
        <v>1.4853226662785717</v>
      </c>
      <c r="Q127" s="50">
        <v>0.80134157141741258</v>
      </c>
      <c r="R127" s="50">
        <v>0.85120054560344249</v>
      </c>
      <c r="S127" s="50">
        <v>1.434708248364458</v>
      </c>
    </row>
    <row r="128" spans="1:23" ht="15.75" x14ac:dyDescent="0.25">
      <c r="B128" s="1" t="s">
        <v>162</v>
      </c>
      <c r="M128">
        <v>10</v>
      </c>
      <c r="N128" s="50">
        <v>2.1776034853339929</v>
      </c>
      <c r="O128" s="50">
        <v>1.8970076829250917</v>
      </c>
      <c r="P128" s="50">
        <v>0.54994004246188266</v>
      </c>
      <c r="Q128" s="50">
        <v>1.8492896634736855</v>
      </c>
      <c r="R128" s="50">
        <v>1.8880641605369761</v>
      </c>
      <c r="S128" s="50">
        <v>1.8970076829250917</v>
      </c>
    </row>
    <row r="129" spans="2:19" ht="15.75" x14ac:dyDescent="0.25">
      <c r="B129" s="1" t="s">
        <v>163</v>
      </c>
      <c r="M129">
        <v>11</v>
      </c>
      <c r="N129" s="50">
        <v>2.2246151052330121</v>
      </c>
      <c r="O129" s="50">
        <v>2.2802955562495861</v>
      </c>
      <c r="P129" s="50">
        <v>2.2779220808030272</v>
      </c>
      <c r="Q129" s="50">
        <v>2.3412361420396168</v>
      </c>
      <c r="R129" s="50">
        <v>2.3107017011595623</v>
      </c>
      <c r="S129" s="50">
        <v>1.2638707332568573</v>
      </c>
    </row>
    <row r="130" spans="2:19" ht="15.75" x14ac:dyDescent="0.25">
      <c r="B130" s="22" t="s">
        <v>164</v>
      </c>
      <c r="M130">
        <v>12</v>
      </c>
      <c r="N130" s="50">
        <v>0.51413375936467542</v>
      </c>
      <c r="O130" s="50">
        <v>0.51413375936467542</v>
      </c>
      <c r="P130" s="50">
        <v>0.24738107725135303</v>
      </c>
      <c r="Q130" s="50">
        <v>0.50245380131591322</v>
      </c>
      <c r="R130" s="50">
        <v>0.50978904067021047</v>
      </c>
      <c r="S130" s="50">
        <v>0.51413375936467542</v>
      </c>
    </row>
    <row r="131" spans="2:19" ht="15.75" x14ac:dyDescent="0.25">
      <c r="B131" s="22" t="s">
        <v>165</v>
      </c>
      <c r="M131">
        <v>13</v>
      </c>
      <c r="N131" s="50">
        <v>0.68313103176960988</v>
      </c>
      <c r="O131" s="50">
        <v>0.69452569774463113</v>
      </c>
      <c r="P131" s="50">
        <v>4.7718588639436792</v>
      </c>
      <c r="Q131" s="50">
        <v>0.63957085155652449</v>
      </c>
      <c r="R131" s="50">
        <v>0.65695585621556152</v>
      </c>
      <c r="S131" s="50">
        <v>0.53337256466935001</v>
      </c>
    </row>
    <row r="132" spans="2:19" ht="15.75" x14ac:dyDescent="0.25">
      <c r="B132" s="23" t="s">
        <v>101</v>
      </c>
      <c r="M132">
        <v>14</v>
      </c>
      <c r="N132" s="50">
        <v>7.2143314068383013</v>
      </c>
      <c r="O132" s="50">
        <v>6.740620166239097</v>
      </c>
      <c r="P132" s="50">
        <v>8.7486048849576523</v>
      </c>
      <c r="Q132" s="50">
        <v>6.7681672373435191</v>
      </c>
      <c r="R132" s="50">
        <v>6.7623257825334289</v>
      </c>
      <c r="S132" s="50">
        <v>6.4150359218241455</v>
      </c>
    </row>
    <row r="133" spans="2:19" ht="15.75" x14ac:dyDescent="0.25">
      <c r="B133" s="1" t="s">
        <v>96</v>
      </c>
    </row>
    <row r="135" spans="2:19" x14ac:dyDescent="0.25">
      <c r="M135">
        <v>1</v>
      </c>
      <c r="N135">
        <f>('2023a'!Q6+'2024a'!Q6)/2</f>
        <v>2.3545391701063036</v>
      </c>
      <c r="O135">
        <f>('2023a'!Q25+'2024a'!Q25)/2</f>
        <v>2.5394126452321784</v>
      </c>
      <c r="P135">
        <f>('2023a'!Q44+'2024a'!Q44)/2</f>
        <v>2.5517052590065612</v>
      </c>
      <c r="Q135">
        <f>('2023a'!Q63+'2024a'!Q82)/2</f>
        <v>2.5526556369272382</v>
      </c>
      <c r="R135">
        <f>('2023a'!Q82+'2024a'!Q63)/2</f>
        <v>2.5861596533373463</v>
      </c>
      <c r="S135">
        <f>('2023a'!Q102+'2024a'!Q102)/2</f>
        <v>2.5476474042245925</v>
      </c>
    </row>
    <row r="136" spans="2:19" x14ac:dyDescent="0.25">
      <c r="M136">
        <v>2</v>
      </c>
      <c r="N136">
        <f>('2023a'!Q7+'2024a'!Q7)/2</f>
        <v>0.6692837045777581</v>
      </c>
      <c r="O136">
        <f>('2023a'!Q26+'2024a'!Q26)/2</f>
        <v>0.94548781059150921</v>
      </c>
      <c r="P136">
        <f>('2023a'!Q45+'2024a'!Q45)/2</f>
        <v>0.92041468052592101</v>
      </c>
      <c r="Q136">
        <f>('2023a'!Q64+'2024a'!Q83)/2</f>
        <v>0.95226662435089859</v>
      </c>
      <c r="R136">
        <f>('2023a'!Q83+'2024a'!Q64)/2</f>
        <v>0.92174956327043489</v>
      </c>
      <c r="S136">
        <f>('2023a'!Q103+'2024a'!Q103)/2</f>
        <v>0.93806796212005983</v>
      </c>
    </row>
    <row r="137" spans="2:19" x14ac:dyDescent="0.25">
      <c r="M137">
        <v>3</v>
      </c>
      <c r="N137">
        <f>('2023a'!Q8+'2024a'!Q8)/2</f>
        <v>0.39487786171158268</v>
      </c>
      <c r="O137">
        <f>('2023a'!Q27+'2024a'!Q27)/2</f>
        <v>0.40412022041209705</v>
      </c>
      <c r="P137">
        <f>('2023a'!Q46+'2024a'!Q46)/2</f>
        <v>0.25389129911304148</v>
      </c>
      <c r="Q137">
        <f>('2023a'!Q65+'2024a'!Q84)/2</f>
        <v>0.22814861362700026</v>
      </c>
      <c r="R137">
        <f>('2023a'!Q84+'2024a'!Q65)/2</f>
        <v>0.24906072392682443</v>
      </c>
      <c r="S137">
        <f>('2023a'!Q104+'2024a'!Q104)/2</f>
        <v>0.22808746710565905</v>
      </c>
    </row>
    <row r="138" spans="2:19" x14ac:dyDescent="0.25">
      <c r="M138">
        <v>4</v>
      </c>
      <c r="N138">
        <f>('2023a'!Q9+'2024a'!Q9)/2</f>
        <v>1.8766934304828304</v>
      </c>
      <c r="O138">
        <f>('2023a'!Q28+'2024a'!Q28)/2</f>
        <v>1.900090000429228</v>
      </c>
      <c r="P138">
        <f>('2023a'!Q47+'2024a'!Q47)/2</f>
        <v>1.6171082703471724</v>
      </c>
      <c r="Q138">
        <f>('2023a'!Q66+'2024a'!Q85)/2</f>
        <v>1.6238877308305188</v>
      </c>
      <c r="R138">
        <f>('2023a'!Q85+'2024a'!Q66)/2</f>
        <v>1.6247667255861895</v>
      </c>
      <c r="S138">
        <f>('2023a'!Q105+'2024a'!Q105)/2</f>
        <v>1.612011973541335</v>
      </c>
    </row>
    <row r="139" spans="2:19" x14ac:dyDescent="0.25">
      <c r="M139">
        <v>5</v>
      </c>
      <c r="N139">
        <f>('2023a'!Q10+'2024a'!Q10)/2</f>
        <v>3.1096338247028488</v>
      </c>
      <c r="O139">
        <f>('2023a'!Q29+'2024a'!Q29)/2</f>
        <v>2.6132819867008168</v>
      </c>
      <c r="P139">
        <f>('2023a'!Q48+'2024a'!Q48)/2</f>
        <v>2.4323837865008922</v>
      </c>
      <c r="Q139">
        <f>('2023a'!Q67+'2024a'!Q86)/2</f>
        <v>2.4251178728285065</v>
      </c>
      <c r="R139">
        <f>('2023a'!Q86+'2024a'!Q67)/2</f>
        <v>2.3795647221214233</v>
      </c>
      <c r="S139">
        <f>('2023a'!Q106+'2024a'!Q106)/2</f>
        <v>2.4174199204974567</v>
      </c>
    </row>
    <row r="140" spans="2:19" x14ac:dyDescent="0.25">
      <c r="M140">
        <v>6</v>
      </c>
      <c r="N140">
        <f>('2023a'!Q11+'2024a'!Q11)/2</f>
        <v>3.4266998555606278</v>
      </c>
      <c r="O140">
        <f>('2023a'!Q30+'2024a'!Q30)/2</f>
        <v>3.521380888747085</v>
      </c>
      <c r="P140">
        <f>('2023a'!Q49+'2024a'!Q49)/2</f>
        <v>2.865255143057118</v>
      </c>
      <c r="Q140">
        <f>('2023a'!Q68+'2024a'!Q87)/2</f>
        <v>2.865255143057118</v>
      </c>
      <c r="R140">
        <f>('2023a'!Q87+'2024a'!Q68)/2</f>
        <v>2.865255143057118</v>
      </c>
      <c r="S140">
        <f>('2023a'!Q107+'2024a'!Q107)/2</f>
        <v>2.865255143057118</v>
      </c>
    </row>
    <row r="141" spans="2:19" x14ac:dyDescent="0.25">
      <c r="M141">
        <v>7</v>
      </c>
      <c r="N141">
        <f>('2023a'!Q12+'2024a'!Q12)/2</f>
        <v>1.9133537093648327</v>
      </c>
      <c r="O141">
        <f>('2023a'!Q31+'2024a'!Q31)/2</f>
        <v>1.7954241271144489</v>
      </c>
      <c r="P141">
        <f>('2023a'!Q50+'2024a'!Q50)/2</f>
        <v>1.7182171790214964</v>
      </c>
      <c r="Q141">
        <f>('2023a'!Q69+'2024a'!Q88)/2</f>
        <v>1.7335722705824623</v>
      </c>
      <c r="R141">
        <f>('2023a'!Q88+'2024a'!Q69)/2</f>
        <v>1.7366436996468051</v>
      </c>
      <c r="S141">
        <f>('2023a'!Q108+'2024a'!Q108)/2</f>
        <v>1.7249893937166374</v>
      </c>
    </row>
    <row r="142" spans="2:19" x14ac:dyDescent="0.25">
      <c r="M142">
        <v>8</v>
      </c>
      <c r="N142">
        <f>('2023a'!Q13+'2024a'!Q13)/2</f>
        <v>1.0071137948113682</v>
      </c>
      <c r="O142">
        <f>('2023a'!Q32+'2024a'!Q32)/2</f>
        <v>1.0071137948113682</v>
      </c>
      <c r="P142">
        <f>('2023a'!Q51+'2024a'!Q51)/2</f>
        <v>0.93392492710909414</v>
      </c>
      <c r="Q142">
        <f>('2023a'!Q70+'2024a'!Q89)/2</f>
        <v>0.96607306578162422</v>
      </c>
      <c r="R142">
        <f>('2023a'!Q89+'2024a'!Q70)/2</f>
        <v>0.98674928116622462</v>
      </c>
      <c r="S142">
        <f>('2023a'!Q109+'2024a'!Q109)/2</f>
        <v>0.95251404011483409</v>
      </c>
    </row>
    <row r="143" spans="2:19" x14ac:dyDescent="0.25">
      <c r="M143">
        <v>9</v>
      </c>
      <c r="N143">
        <f>('2023a'!Q14+'2024a'!Q14)/2</f>
        <v>0.74982979243559089</v>
      </c>
      <c r="O143">
        <f>('2023a'!Q33+'2024a'!Q33)/2</f>
        <v>0.94265651036681786</v>
      </c>
      <c r="P143">
        <f>('2023a'!Q52+'2024a'!Q52)/2</f>
        <v>0.85895828112231887</v>
      </c>
      <c r="Q143">
        <f>('2023a'!Q71+'2024a'!Q90)/2</f>
        <v>0.8181999839597085</v>
      </c>
      <c r="R143">
        <f>('2023a'!Q90+'2024a'!Q71)/2</f>
        <v>0.85588654660163055</v>
      </c>
      <c r="S143">
        <f>('2023a'!Q110+'2024a'!Q110)/2</f>
        <v>0.81103589741729587</v>
      </c>
    </row>
    <row r="144" spans="2:19" x14ac:dyDescent="0.25">
      <c r="M144">
        <v>10</v>
      </c>
      <c r="N144">
        <f>('2023a'!Q15+'2024a'!Q15)/2</f>
        <v>0.73804495005938842</v>
      </c>
      <c r="O144">
        <f>('2023a'!Q34+'2024a'!Q34)/2</f>
        <v>0.47672099589325262</v>
      </c>
      <c r="P144">
        <f>('2023a'!Q53+'2024a'!Q53)/2</f>
        <v>0.38356866047466309</v>
      </c>
      <c r="Q144">
        <f>('2023a'!Q72+'2024a'!Q91)/2</f>
        <v>0.37137831280077011</v>
      </c>
      <c r="R144">
        <f>('2023a'!Q91+'2024a'!Q72)/2</f>
        <v>0.38055060448778466</v>
      </c>
      <c r="S144">
        <f>('2023a'!Q111+'2024a'!Q111)/2</f>
        <v>0.34973460567442738</v>
      </c>
    </row>
    <row r="145" spans="13:19" x14ac:dyDescent="0.25">
      <c r="M145">
        <v>11</v>
      </c>
      <c r="N145">
        <f>('2023a'!Q16+'2024a'!Q16)/2</f>
        <v>3.1945682684658667</v>
      </c>
      <c r="O145">
        <f>('2023a'!Q35+'2024a'!Q35)/2</f>
        <v>2.8003147523968628</v>
      </c>
      <c r="P145">
        <f>('2023a'!Q54+'2024a'!Q54)/2</f>
        <v>2.4865353787220195</v>
      </c>
      <c r="Q145">
        <f>('2023a'!Q73+'2024a'!Q92)/2</f>
        <v>2.4635704000769332</v>
      </c>
      <c r="R145">
        <f>('2023a'!Q92+'2024a'!Q73)/2</f>
        <v>2.4411827532972326</v>
      </c>
      <c r="S145">
        <f>('2023a'!Q112+'2024a'!Q112)/2</f>
        <v>2.4470843679211063</v>
      </c>
    </row>
    <row r="146" spans="13:19" x14ac:dyDescent="0.25">
      <c r="M146">
        <v>12</v>
      </c>
      <c r="N146">
        <f>('2023a'!Q17+'2024a'!Q17)/2</f>
        <v>2.9982621134998539</v>
      </c>
      <c r="O146">
        <f>('2023a'!Q36+'2024a'!Q36)/2</f>
        <v>2.7024932542146818</v>
      </c>
      <c r="P146">
        <f>('2023a'!Q55+'2024a'!Q55)/2</f>
        <v>2.677577243064885</v>
      </c>
      <c r="Q146">
        <f>('2023a'!Q74+'2024a'!Q93)/2</f>
        <v>2.7156689788704544</v>
      </c>
      <c r="R146">
        <f>('2023a'!Q93+'2024a'!Q74)/2</f>
        <v>2.697044715787154</v>
      </c>
      <c r="S146">
        <f>('2023a'!Q113+'2024a'!Q113)/2</f>
        <v>2.6991770121441312</v>
      </c>
    </row>
    <row r="147" spans="13:19" x14ac:dyDescent="0.25">
      <c r="M147">
        <v>13</v>
      </c>
      <c r="N147">
        <f>('2023a'!Q18+'2024a'!Q18)/2</f>
        <v>0.97383133270021505</v>
      </c>
      <c r="O147">
        <f>('2023a'!Q37+'2024a'!Q37)/2</f>
        <v>0.97383133270021505</v>
      </c>
      <c r="P147">
        <f>('2023a'!Q56+'2024a'!Q56)/2</f>
        <v>0.94980486558717769</v>
      </c>
      <c r="Q147">
        <f>('2023a'!Q75+'2024a'!Q94)/2</f>
        <v>0.9480468314081737</v>
      </c>
      <c r="R147">
        <f>('2023a'!Q94+'2024a'!Q75)/2</f>
        <v>0.96367380188819762</v>
      </c>
      <c r="S147">
        <f>('2023a'!Q114+'2024a'!Q114)/2</f>
        <v>0.9659527350832019</v>
      </c>
    </row>
    <row r="148" spans="13:19" x14ac:dyDescent="0.25">
      <c r="M148">
        <v>14</v>
      </c>
      <c r="N148">
        <f>('2023a'!Q19+'2024a'!Q19)/2</f>
        <v>5.0956238373046219</v>
      </c>
      <c r="O148">
        <f>('2023a'!Q38+'2024a'!Q38)/2</f>
        <v>4.6219125967054175</v>
      </c>
      <c r="P148">
        <f>('2023a'!Q57+'2024a'!Q57)/2</f>
        <v>4.538924411683471</v>
      </c>
      <c r="Q148">
        <f>('2023a'!Q76+'2024a'!Q95)/2</f>
        <v>4.5065177054097871</v>
      </c>
      <c r="R148">
        <f>('2023a'!Q95+'2024a'!Q76)/2</f>
        <v>4.5529782432423049</v>
      </c>
      <c r="S148">
        <f>('2023a'!Q115+'2024a'!Q115)/2</f>
        <v>4.5026884787322903</v>
      </c>
    </row>
  </sheetData>
  <mergeCells count="31">
    <mergeCell ref="D100:H100"/>
    <mergeCell ref="I100:I101"/>
    <mergeCell ref="J100:J101"/>
    <mergeCell ref="K100:K101"/>
    <mergeCell ref="L100:L101"/>
    <mergeCell ref="D61:H61"/>
    <mergeCell ref="I61:I62"/>
    <mergeCell ref="J61:J62"/>
    <mergeCell ref="K61:K62"/>
    <mergeCell ref="L61:L62"/>
    <mergeCell ref="D80:H80"/>
    <mergeCell ref="I80:I81"/>
    <mergeCell ref="J80:J81"/>
    <mergeCell ref="K80:K81"/>
    <mergeCell ref="L80:L81"/>
    <mergeCell ref="D23:H23"/>
    <mergeCell ref="I23:I24"/>
    <mergeCell ref="J23:J24"/>
    <mergeCell ref="K23:K24"/>
    <mergeCell ref="L23:L24"/>
    <mergeCell ref="D42:H42"/>
    <mergeCell ref="I42:I43"/>
    <mergeCell ref="J42:J43"/>
    <mergeCell ref="K42:K43"/>
    <mergeCell ref="L42:L43"/>
    <mergeCell ref="B20:O20"/>
    <mergeCell ref="D4:H4"/>
    <mergeCell ref="I4:I5"/>
    <mergeCell ref="J4:J5"/>
    <mergeCell ref="K4:K5"/>
    <mergeCell ref="L4:L5"/>
  </mergeCells>
  <pageMargins left="0.7" right="0.7" top="0.75" bottom="0.75" header="0.3" footer="0.3"/>
  <pageSetup scale="56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S18"/>
  <sheetViews>
    <sheetView workbookViewId="0">
      <selection activeCell="G13" sqref="G13"/>
    </sheetView>
  </sheetViews>
  <sheetFormatPr defaultRowHeight="15" x14ac:dyDescent="0.25"/>
  <sheetData>
    <row r="2" spans="2:19" x14ac:dyDescent="0.25">
      <c r="B2" s="63" t="s">
        <v>255</v>
      </c>
      <c r="C2" s="63"/>
      <c r="D2" s="62"/>
      <c r="E2" s="63" t="s">
        <v>256</v>
      </c>
      <c r="F2" s="63"/>
      <c r="G2" s="62"/>
      <c r="H2" s="63" t="s">
        <v>204</v>
      </c>
      <c r="I2" s="63"/>
      <c r="J2" s="62"/>
      <c r="K2" s="63" t="s">
        <v>170</v>
      </c>
      <c r="L2" s="63"/>
      <c r="M2" s="62"/>
      <c r="N2" s="63" t="s">
        <v>257</v>
      </c>
      <c r="O2" s="63"/>
      <c r="P2" s="62"/>
      <c r="Q2" s="63" t="s">
        <v>197</v>
      </c>
      <c r="R2" s="63"/>
    </row>
    <row r="3" spans="2:19" x14ac:dyDescent="0.25">
      <c r="B3" t="s">
        <v>254</v>
      </c>
      <c r="C3" t="s">
        <v>12</v>
      </c>
      <c r="D3" t="s">
        <v>15</v>
      </c>
      <c r="E3" t="s">
        <v>254</v>
      </c>
      <c r="F3" t="s">
        <v>12</v>
      </c>
      <c r="G3" t="s">
        <v>15</v>
      </c>
      <c r="H3" t="s">
        <v>254</v>
      </c>
      <c r="I3" t="s">
        <v>12</v>
      </c>
      <c r="J3" t="s">
        <v>15</v>
      </c>
      <c r="K3" t="s">
        <v>254</v>
      </c>
      <c r="L3" t="s">
        <v>12</v>
      </c>
      <c r="M3" t="s">
        <v>15</v>
      </c>
      <c r="N3" t="s">
        <v>254</v>
      </c>
      <c r="O3" t="s">
        <v>12</v>
      </c>
      <c r="P3" t="s">
        <v>15</v>
      </c>
      <c r="Q3" t="s">
        <v>254</v>
      </c>
      <c r="R3" t="s">
        <v>12</v>
      </c>
      <c r="S3" t="s">
        <v>15</v>
      </c>
    </row>
    <row r="4" spans="2:19" x14ac:dyDescent="0.25">
      <c r="B4" s="68">
        <v>-9.9619177392909855</v>
      </c>
      <c r="C4" s="68">
        <v>-6.8007</v>
      </c>
      <c r="D4" s="68">
        <v>3.8537771783205157</v>
      </c>
      <c r="E4" s="68">
        <v>-9.9619177392909855</v>
      </c>
      <c r="F4" s="68">
        <v>-6.4973999999999998</v>
      </c>
      <c r="G4" s="68">
        <v>4.2235241285722651</v>
      </c>
      <c r="H4" s="68">
        <v>-9.9619177392909855</v>
      </c>
      <c r="I4" s="68">
        <v>-6.4406999999999996</v>
      </c>
      <c r="J4" s="68">
        <v>4.2926459620021333</v>
      </c>
      <c r="K4" s="68">
        <v>-9.9619177392909855</v>
      </c>
      <c r="L4" s="68">
        <v>-6.4047000000000001</v>
      </c>
      <c r="M4" s="68">
        <v>4.3365328403702801</v>
      </c>
      <c r="N4" s="68">
        <v>-9.9619177392909855</v>
      </c>
      <c r="O4" s="68">
        <v>-6.4359000000000002</v>
      </c>
      <c r="P4" s="68">
        <v>4.2984975457845405</v>
      </c>
      <c r="Q4" s="68">
        <v>-9.9619177392909855</v>
      </c>
      <c r="R4" s="68">
        <v>-6.4724000000000004</v>
      </c>
      <c r="S4" s="68">
        <v>4.2540011274390439</v>
      </c>
    </row>
    <row r="5" spans="2:19" x14ac:dyDescent="0.25">
      <c r="B5" s="68">
        <v>-3.6051464333185743</v>
      </c>
      <c r="C5" s="68">
        <v>-3</v>
      </c>
      <c r="D5" s="68">
        <v>0.6789025613559011</v>
      </c>
      <c r="E5" s="68">
        <v>-3.6051464333185743</v>
      </c>
      <c r="F5" s="68">
        <v>-3</v>
      </c>
      <c r="G5" s="68">
        <v>0.6789025613559011</v>
      </c>
      <c r="H5" s="68">
        <v>-3.6051464333185743</v>
      </c>
      <c r="I5" s="68">
        <v>-3.0581999999999998</v>
      </c>
      <c r="J5" s="68">
        <v>0.61360906065025256</v>
      </c>
      <c r="K5" s="68">
        <v>-3.6051464333185743</v>
      </c>
      <c r="L5" s="68">
        <v>-3.0472000000000001</v>
      </c>
      <c r="M5" s="68">
        <v>0.62594975665990737</v>
      </c>
      <c r="N5" s="68">
        <v>-3.6051464333185743</v>
      </c>
      <c r="O5" s="68">
        <v>-3.0520999999999998</v>
      </c>
      <c r="P5" s="68">
        <v>0.62045253752833285</v>
      </c>
      <c r="Q5" s="68">
        <v>-3.6051464333185743</v>
      </c>
      <c r="R5" s="68">
        <v>-3.0716999999999999</v>
      </c>
      <c r="S5" s="68">
        <v>0.59846366100201975</v>
      </c>
    </row>
    <row r="6" spans="2:19" x14ac:dyDescent="0.25">
      <c r="B6" s="68">
        <v>-8.5739194347608034</v>
      </c>
      <c r="C6" s="68">
        <v>-9</v>
      </c>
      <c r="D6" s="68">
        <v>0.52106688753752883</v>
      </c>
      <c r="E6" s="68">
        <v>-8.5739194347608034</v>
      </c>
      <c r="F6" s="68">
        <v>-9</v>
      </c>
      <c r="G6" s="68">
        <v>0.52106688753752883</v>
      </c>
      <c r="H6" s="68">
        <v>-8.5739194347608034</v>
      </c>
      <c r="I6" s="68">
        <v>-8.9331999999999994</v>
      </c>
      <c r="J6" s="68">
        <v>0.43937513502127395</v>
      </c>
      <c r="K6" s="68">
        <v>-8.5739194347608034</v>
      </c>
      <c r="L6" s="68">
        <v>-8.9253</v>
      </c>
      <c r="M6" s="68">
        <v>0.42971398464883986</v>
      </c>
      <c r="N6" s="68">
        <v>-8.5739194347608034</v>
      </c>
      <c r="O6" s="68">
        <v>-8.8910999999999998</v>
      </c>
      <c r="P6" s="68">
        <v>0.38788976404919151</v>
      </c>
      <c r="Q6" s="68">
        <v>-8.5739194347608034</v>
      </c>
      <c r="R6" s="68">
        <v>-8.891</v>
      </c>
      <c r="S6" s="68">
        <v>0.3877674710065091</v>
      </c>
    </row>
    <row r="7" spans="2:19" x14ac:dyDescent="0.25">
      <c r="B7" s="68">
        <v>-3.7454597713523752</v>
      </c>
      <c r="C7" s="68">
        <v>-3</v>
      </c>
      <c r="D7" s="68">
        <v>0.80979720445208059</v>
      </c>
      <c r="E7" s="68">
        <v>-3.7454597713523752</v>
      </c>
      <c r="F7" s="68">
        <v>-3</v>
      </c>
      <c r="G7" s="68">
        <v>0.80979720445208059</v>
      </c>
      <c r="H7" s="68">
        <v>-3.7454597713523752</v>
      </c>
      <c r="I7" s="68">
        <v>-3.0625</v>
      </c>
      <c r="J7" s="68">
        <v>0.74190309772323737</v>
      </c>
      <c r="K7" s="68">
        <v>-3.7454597713523752</v>
      </c>
      <c r="L7" s="68">
        <v>-3.0484</v>
      </c>
      <c r="M7" s="68">
        <v>0.75722000820127133</v>
      </c>
      <c r="N7" s="68">
        <v>-3.7454597713523752</v>
      </c>
      <c r="O7" s="68">
        <v>-3.052</v>
      </c>
      <c r="P7" s="68">
        <v>0.75330930765369508</v>
      </c>
      <c r="Q7" s="68">
        <v>-3.7454597713523752</v>
      </c>
      <c r="R7" s="68">
        <v>-3.0722999999999998</v>
      </c>
      <c r="S7" s="68">
        <v>0.7312573017881524</v>
      </c>
    </row>
    <row r="8" spans="2:19" x14ac:dyDescent="0.25">
      <c r="B8" s="68">
        <v>-4.421207984151831</v>
      </c>
      <c r="C8" s="68">
        <v>-6.4093999999999998</v>
      </c>
      <c r="D8" s="68">
        <v>2.2556275239530272</v>
      </c>
      <c r="E8" s="68">
        <v>-4.421207984151831</v>
      </c>
      <c r="F8" s="68">
        <v>-6.2592999999999996</v>
      </c>
      <c r="G8" s="68">
        <v>2.0853372860652537</v>
      </c>
      <c r="H8" s="68">
        <v>-4.421207984151831</v>
      </c>
      <c r="I8" s="68">
        <v>-6.2172999999999998</v>
      </c>
      <c r="J8" s="68">
        <v>2.0376877857902</v>
      </c>
      <c r="K8" s="68">
        <v>-4.421207984151831</v>
      </c>
      <c r="L8" s="68">
        <v>-6.1835000000000004</v>
      </c>
      <c r="M8" s="68">
        <v>1.9993412831878898</v>
      </c>
      <c r="N8" s="68">
        <v>-4.421207984151831</v>
      </c>
      <c r="O8" s="68">
        <v>-6.2005999999999997</v>
      </c>
      <c r="P8" s="68">
        <v>2.0187414368713141</v>
      </c>
      <c r="Q8" s="68">
        <v>-4.421207984151831</v>
      </c>
      <c r="R8" s="68">
        <v>-6.2413999999999996</v>
      </c>
      <c r="S8" s="68">
        <v>2.0650295228527975</v>
      </c>
    </row>
    <row r="9" spans="2:19" x14ac:dyDescent="0.25">
      <c r="B9" s="68">
        <v>-11.998988168729841</v>
      </c>
      <c r="C9" s="68">
        <v>-12</v>
      </c>
      <c r="D9" s="68">
        <v>1.1914375163362197E-3</v>
      </c>
      <c r="E9" s="68">
        <v>-11.998988168729841</v>
      </c>
      <c r="F9" s="68">
        <v>-12</v>
      </c>
      <c r="G9" s="68">
        <v>1.1914375163362197E-3</v>
      </c>
      <c r="H9" s="68">
        <v>-11.998988168729841</v>
      </c>
      <c r="I9" s="68">
        <v>-12</v>
      </c>
      <c r="J9" s="68">
        <v>1.1914375163362197E-3</v>
      </c>
      <c r="K9" s="68">
        <v>-11.998988168729841</v>
      </c>
      <c r="L9" s="68">
        <v>-12</v>
      </c>
      <c r="M9" s="68">
        <v>1.1914375163362197E-3</v>
      </c>
      <c r="N9" s="68">
        <v>-11.998988168729841</v>
      </c>
      <c r="O9" s="68">
        <v>-12</v>
      </c>
      <c r="P9" s="68">
        <v>1.1914375163362197E-3</v>
      </c>
      <c r="Q9" s="68">
        <v>-11.998988168729841</v>
      </c>
      <c r="R9" s="68">
        <v>-12</v>
      </c>
      <c r="S9" s="68">
        <v>1.1914375163362197E-3</v>
      </c>
    </row>
    <row r="10" spans="2:19" x14ac:dyDescent="0.25">
      <c r="B10" s="68">
        <v>-10.510290057799001</v>
      </c>
      <c r="C10" s="68">
        <v>-12</v>
      </c>
      <c r="D10" s="68">
        <v>1.8385187171814736</v>
      </c>
      <c r="E10" s="68">
        <v>-10.510290057799001</v>
      </c>
      <c r="F10" s="68">
        <v>-12</v>
      </c>
      <c r="G10" s="68">
        <v>1.8385187171814736</v>
      </c>
      <c r="H10" s="68">
        <v>-10.510290057799001</v>
      </c>
      <c r="I10" s="68">
        <v>-11.9101</v>
      </c>
      <c r="J10" s="68">
        <v>1.7275690430251585</v>
      </c>
      <c r="K10" s="68">
        <v>-10.510290057799001</v>
      </c>
      <c r="L10" s="68">
        <v>-11.942600000000001</v>
      </c>
      <c r="M10" s="68">
        <v>1.7676787694999103</v>
      </c>
      <c r="N10" s="68">
        <v>-10.510290057799001</v>
      </c>
      <c r="O10" s="68">
        <v>-11.895300000000001</v>
      </c>
      <c r="P10" s="68">
        <v>1.7093036906612795</v>
      </c>
      <c r="Q10" s="68">
        <v>-10.510290057799001</v>
      </c>
      <c r="R10" s="68">
        <v>-11.8956</v>
      </c>
      <c r="S10" s="68">
        <v>1.7096739342902807</v>
      </c>
    </row>
    <row r="11" spans="2:19" x14ac:dyDescent="0.25">
      <c r="B11" s="68">
        <v>-6.4495908074259125</v>
      </c>
      <c r="C11" s="68">
        <v>-6</v>
      </c>
      <c r="D11" s="68">
        <v>0.49433213911086765</v>
      </c>
      <c r="E11" s="68">
        <v>-6.4495908074259125</v>
      </c>
      <c r="F11" s="68">
        <v>-6</v>
      </c>
      <c r="G11" s="68">
        <v>0.49433213911086765</v>
      </c>
      <c r="H11" s="68">
        <v>-6.4495908074259125</v>
      </c>
      <c r="I11" s="68">
        <v>-6.0701000000000001</v>
      </c>
      <c r="J11" s="68">
        <v>0.41725609044770112</v>
      </c>
      <c r="K11" s="68">
        <v>-6.4495908074259125</v>
      </c>
      <c r="L11" s="68">
        <v>-6</v>
      </c>
      <c r="M11" s="68">
        <v>0.49433213911086765</v>
      </c>
      <c r="N11" s="68">
        <v>-6.4495908074259125</v>
      </c>
      <c r="O11" s="68">
        <v>-6</v>
      </c>
      <c r="P11" s="68">
        <v>0.49433213911086765</v>
      </c>
      <c r="Q11" s="68">
        <v>-6.4495908074259125</v>
      </c>
      <c r="R11" s="68">
        <v>-6</v>
      </c>
      <c r="S11" s="68">
        <v>0.49433213911086765</v>
      </c>
    </row>
    <row r="12" spans="2:19" x14ac:dyDescent="0.25">
      <c r="B12" s="68">
        <v>-8.8817713081363916</v>
      </c>
      <c r="C12" s="68">
        <v>-9.4260000000000002</v>
      </c>
      <c r="D12" s="68">
        <v>0.6748304815846996</v>
      </c>
      <c r="E12" s="68">
        <v>-8.8817713081363916</v>
      </c>
      <c r="F12" s="68">
        <v>-9.8280999999999992</v>
      </c>
      <c r="G12" s="68">
        <v>1.1734248054451721</v>
      </c>
      <c r="H12" s="68">
        <v>-8.8817713081363916</v>
      </c>
      <c r="I12" s="68">
        <v>-9.7744</v>
      </c>
      <c r="J12" s="68">
        <v>1.1068380976826691</v>
      </c>
      <c r="K12" s="68">
        <v>-8.8817713081363916</v>
      </c>
      <c r="L12" s="68">
        <v>-9.7714999999999996</v>
      </c>
      <c r="M12" s="68">
        <v>1.1032421674683079</v>
      </c>
      <c r="N12" s="68">
        <v>-8.8817713081363916</v>
      </c>
      <c r="O12" s="68">
        <v>-9.6978000000000009</v>
      </c>
      <c r="P12" s="68">
        <v>1.0118559409860484</v>
      </c>
      <c r="Q12" s="68">
        <v>-8.8817713081363916</v>
      </c>
      <c r="R12" s="68">
        <v>-9.6973000000000003</v>
      </c>
      <c r="S12" s="68">
        <v>1.0112359530180477</v>
      </c>
    </row>
    <row r="13" spans="2:19" x14ac:dyDescent="0.25">
      <c r="B13" s="68">
        <v>-3.5312116743827406</v>
      </c>
      <c r="C13" s="68">
        <v>-3</v>
      </c>
      <c r="D13" s="68">
        <v>0.6022294163869637</v>
      </c>
      <c r="E13" s="68">
        <v>-3.5312116743827406</v>
      </c>
      <c r="F13" s="68">
        <v>-3</v>
      </c>
      <c r="G13" s="68">
        <v>0.6022294163869637</v>
      </c>
      <c r="H13" s="68">
        <v>-3.5312116743827406</v>
      </c>
      <c r="I13" s="68">
        <v>-3.0600999999999998</v>
      </c>
      <c r="J13" s="68">
        <v>0.53409464136171703</v>
      </c>
      <c r="K13" s="68">
        <v>-3.5312116743827406</v>
      </c>
      <c r="L13" s="68">
        <v>-3.0470000000000002</v>
      </c>
      <c r="M13" s="68">
        <v>0.5489459816750345</v>
      </c>
      <c r="N13" s="68">
        <v>-3.5312116743827406</v>
      </c>
      <c r="O13" s="68">
        <v>-3.0472000000000001</v>
      </c>
      <c r="P13" s="68">
        <v>0.54871924365499591</v>
      </c>
      <c r="Q13" s="68">
        <v>-3.5312116743827406</v>
      </c>
      <c r="R13" s="68">
        <v>-3.0750000000000002</v>
      </c>
      <c r="S13" s="68">
        <v>0.51720265886793837</v>
      </c>
    </row>
    <row r="14" spans="2:19" x14ac:dyDescent="0.25">
      <c r="B14" s="68">
        <v>-4.3427803166585974</v>
      </c>
      <c r="C14" s="68">
        <v>-6</v>
      </c>
      <c r="D14" s="68">
        <v>1.9833486043041642</v>
      </c>
      <c r="E14" s="68">
        <v>-4.3427803166585974</v>
      </c>
      <c r="F14" s="68">
        <v>-6</v>
      </c>
      <c r="G14" s="68">
        <v>1.9833486043041642</v>
      </c>
      <c r="H14" s="68">
        <v>-4.3427803166585974</v>
      </c>
      <c r="I14" s="68">
        <v>-5.5480999999999998</v>
      </c>
      <c r="J14" s="68">
        <v>1.442517932731453</v>
      </c>
      <c r="K14" s="68">
        <v>-4.3427803166585974</v>
      </c>
      <c r="L14" s="68">
        <v>-5.5480999999999998</v>
      </c>
      <c r="M14" s="68">
        <v>1.442517932731453</v>
      </c>
      <c r="N14" s="68">
        <v>-4.3427803166585974</v>
      </c>
      <c r="O14" s="68">
        <v>-5.5480999999999998</v>
      </c>
      <c r="P14" s="68">
        <v>1.442517932731453</v>
      </c>
      <c r="Q14" s="68">
        <v>-4.3427803166585974</v>
      </c>
      <c r="R14" s="68">
        <v>-5.5480999999999998</v>
      </c>
      <c r="S14" s="68">
        <v>1.442517932731453</v>
      </c>
    </row>
    <row r="15" spans="2:19" x14ac:dyDescent="0.25">
      <c r="B15" s="68">
        <v>-13.38383584760898</v>
      </c>
      <c r="C15" s="68">
        <v>-9.0388999999999999</v>
      </c>
      <c r="D15" s="68">
        <v>5.2689492386820511</v>
      </c>
      <c r="E15" s="68">
        <v>-13.38383584760898</v>
      </c>
      <c r="F15" s="68">
        <v>-9.5266999999999999</v>
      </c>
      <c r="G15" s="68">
        <v>4.6774115201117068</v>
      </c>
      <c r="H15" s="68">
        <v>-13.38383584760898</v>
      </c>
      <c r="I15" s="68">
        <v>-9.5020000000000007</v>
      </c>
      <c r="J15" s="68">
        <v>4.7073643320196368</v>
      </c>
      <c r="K15" s="68">
        <v>-13.38383584760898</v>
      </c>
      <c r="L15" s="68">
        <v>-9.4697999999999993</v>
      </c>
      <c r="M15" s="68">
        <v>4.7464121273004078</v>
      </c>
      <c r="N15" s="68">
        <v>-13.38383584760898</v>
      </c>
      <c r="O15" s="68">
        <v>-9.4629999999999992</v>
      </c>
      <c r="P15" s="68">
        <v>4.7546582455584714</v>
      </c>
      <c r="Q15" s="68">
        <v>-13.38383584760898</v>
      </c>
      <c r="R15" s="68">
        <v>-9.4673999999999996</v>
      </c>
      <c r="S15" s="68">
        <v>4.7493225219797219</v>
      </c>
    </row>
    <row r="16" spans="2:19" x14ac:dyDescent="0.25">
      <c r="B16" s="68">
        <v>-2.1310256016779494</v>
      </c>
      <c r="C16" s="68">
        <v>-3</v>
      </c>
      <c r="D16" s="68">
        <v>1.0451999447812284</v>
      </c>
      <c r="E16" s="68">
        <v>-2.1310256016779494</v>
      </c>
      <c r="F16" s="68">
        <v>-3</v>
      </c>
      <c r="G16" s="68">
        <v>1.0451999447812284</v>
      </c>
      <c r="H16" s="68">
        <v>-2.1310256016779494</v>
      </c>
      <c r="I16" s="68">
        <v>-3</v>
      </c>
      <c r="J16" s="68">
        <v>1.0451999447812284</v>
      </c>
      <c r="K16" s="68">
        <v>-2.1310256016779494</v>
      </c>
      <c r="L16" s="68">
        <v>-3</v>
      </c>
      <c r="M16" s="68">
        <v>1.0451999447812284</v>
      </c>
      <c r="N16" s="68">
        <v>-2.1310256016779494</v>
      </c>
      <c r="O16" s="68">
        <v>-3</v>
      </c>
      <c r="P16" s="68">
        <v>1.0451999447812284</v>
      </c>
      <c r="Q16" s="68">
        <v>-2.1310256016779494</v>
      </c>
      <c r="R16" s="68">
        <v>-3</v>
      </c>
      <c r="S16" s="68">
        <v>1.0451999447812284</v>
      </c>
    </row>
    <row r="17" spans="2:19" x14ac:dyDescent="0.25">
      <c r="B17" s="68">
        <v>-4.0648816821434819</v>
      </c>
      <c r="C17" s="68">
        <v>-3</v>
      </c>
      <c r="D17" s="68">
        <v>1.1942519132437464</v>
      </c>
      <c r="E17" s="68">
        <v>-4.0648816821434819</v>
      </c>
      <c r="F17" s="68">
        <v>-3</v>
      </c>
      <c r="G17" s="68">
        <v>1.1942519132437464</v>
      </c>
      <c r="H17" s="68">
        <v>-4.0648816821434819</v>
      </c>
      <c r="I17" s="68">
        <v>-3.0640000000000001</v>
      </c>
      <c r="J17" s="68">
        <v>1.1224766881372903</v>
      </c>
      <c r="K17" s="68">
        <v>-4.0648816821434819</v>
      </c>
      <c r="L17" s="68">
        <v>-3.0476000000000001</v>
      </c>
      <c r="M17" s="68">
        <v>1.1408690895708113</v>
      </c>
      <c r="N17" s="68">
        <v>-4.0648816821434819</v>
      </c>
      <c r="O17" s="68">
        <v>-3.0491999999999999</v>
      </c>
      <c r="P17" s="68">
        <v>1.1390747089431532</v>
      </c>
      <c r="Q17" s="68">
        <v>-4.0648816821434819</v>
      </c>
      <c r="R17" s="68">
        <v>-3.0716000000000001</v>
      </c>
      <c r="S17" s="68">
        <v>1.1139533801558958</v>
      </c>
    </row>
    <row r="18" spans="2:19" x14ac:dyDescent="0.25">
      <c r="B18" s="69" t="s">
        <v>96</v>
      </c>
      <c r="C18" s="69"/>
      <c r="D18" s="68">
        <v>1.5158588034578988</v>
      </c>
      <c r="E18" s="69" t="s">
        <v>96</v>
      </c>
      <c r="F18" s="69"/>
      <c r="G18" s="68">
        <v>1.5234668975760493</v>
      </c>
      <c r="H18" s="69" t="s">
        <v>96</v>
      </c>
      <c r="I18" s="69"/>
      <c r="J18" s="68">
        <v>1.4449806606350204</v>
      </c>
      <c r="K18" s="69" t="s">
        <v>96</v>
      </c>
      <c r="L18" s="69"/>
      <c r="M18" s="68">
        <v>1.4599391044801817</v>
      </c>
      <c r="N18" s="69" t="s">
        <v>96</v>
      </c>
      <c r="O18" s="69"/>
      <c r="P18" s="68">
        <v>1.4446959911307791</v>
      </c>
      <c r="Q18" s="69" t="s">
        <v>96</v>
      </c>
      <c r="R18" s="69"/>
      <c r="S18" s="68">
        <v>1.4372249276100209</v>
      </c>
    </row>
  </sheetData>
  <mergeCells count="12">
    <mergeCell ref="B18:C18"/>
    <mergeCell ref="E18:F18"/>
    <mergeCell ref="H18:I18"/>
    <mergeCell ref="K18:L18"/>
    <mergeCell ref="N18:O18"/>
    <mergeCell ref="Q18:R18"/>
    <mergeCell ref="B2:C2"/>
    <mergeCell ref="E2:F2"/>
    <mergeCell ref="H2:I2"/>
    <mergeCell ref="K2:L2"/>
    <mergeCell ref="N2:O2"/>
    <mergeCell ref="Q2:R2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opLeftCell="A22" workbookViewId="0">
      <selection activeCell="F47" sqref="F47"/>
    </sheetView>
  </sheetViews>
  <sheetFormatPr defaultRowHeight="15" x14ac:dyDescent="0.25"/>
  <cols>
    <col min="1" max="1" width="12" customWidth="1"/>
    <col min="2" max="2" width="31.140625" customWidth="1"/>
    <col min="3" max="3" width="20.140625" customWidth="1"/>
    <col min="4" max="4" width="10.42578125" customWidth="1"/>
    <col min="5" max="5" width="10.28515625" customWidth="1"/>
    <col min="15" max="15" width="11.140625" customWidth="1"/>
  </cols>
  <sheetData>
    <row r="1" spans="1:10" x14ac:dyDescent="0.25">
      <c r="A1" s="19" t="s">
        <v>102</v>
      </c>
    </row>
    <row r="3" spans="1:10" ht="15.75" x14ac:dyDescent="0.25">
      <c r="A3" s="2" t="s">
        <v>0</v>
      </c>
      <c r="B3" s="2" t="s">
        <v>1</v>
      </c>
      <c r="C3" s="3" t="s">
        <v>9</v>
      </c>
      <c r="D3" s="15">
        <v>2022</v>
      </c>
      <c r="E3" s="15">
        <v>2023</v>
      </c>
      <c r="F3" s="60" t="s">
        <v>37</v>
      </c>
      <c r="G3" s="61"/>
      <c r="H3" s="16" t="s">
        <v>10</v>
      </c>
    </row>
    <row r="4" spans="1:10" ht="18.75" x14ac:dyDescent="0.25">
      <c r="A4" s="7"/>
      <c r="B4" s="7"/>
      <c r="C4" s="8" t="s">
        <v>2</v>
      </c>
      <c r="D4" s="15" t="s">
        <v>41</v>
      </c>
      <c r="E4" s="15" t="s">
        <v>41</v>
      </c>
      <c r="F4" s="15" t="s">
        <v>38</v>
      </c>
      <c r="G4" s="15" t="s">
        <v>39</v>
      </c>
      <c r="H4" s="15" t="s">
        <v>40</v>
      </c>
      <c r="J4" s="26"/>
    </row>
    <row r="5" spans="1:10" ht="15.75" x14ac:dyDescent="0.25">
      <c r="A5" s="2" t="s">
        <v>17</v>
      </c>
      <c r="B5" s="1" t="s">
        <v>19</v>
      </c>
      <c r="C5" s="1" t="s">
        <v>75</v>
      </c>
      <c r="D5" s="9">
        <f>'2022a'!L5</f>
        <v>-0.48006313905753739</v>
      </c>
      <c r="E5" s="9">
        <f>'2023a'!L6</f>
        <v>-11.285594342161463</v>
      </c>
      <c r="F5" s="9">
        <f t="shared" ref="F5:F18" si="0">D5</f>
        <v>-0.48006313905753739</v>
      </c>
      <c r="G5" s="9">
        <f>E6</f>
        <v>-9.2225478365592721</v>
      </c>
      <c r="H5" s="9">
        <f t="shared" ref="H5:H18" si="1">E5</f>
        <v>-11.285594342161463</v>
      </c>
    </row>
    <row r="6" spans="1:10" ht="15.75" x14ac:dyDescent="0.25">
      <c r="A6" s="7" t="s">
        <v>18</v>
      </c>
      <c r="B6" s="1" t="s">
        <v>20</v>
      </c>
      <c r="C6" s="1" t="s">
        <v>80</v>
      </c>
      <c r="D6" s="9">
        <f>'2022a'!L6</f>
        <v>-6.0942730339893503</v>
      </c>
      <c r="E6" s="9">
        <f>'2023a'!L7</f>
        <v>-9.2225478365592721</v>
      </c>
      <c r="F6" s="9">
        <f t="shared" si="0"/>
        <v>-6.0942730339893503</v>
      </c>
      <c r="G6" s="9">
        <f>E5</f>
        <v>-11.285594342161463</v>
      </c>
      <c r="H6" s="9">
        <f t="shared" si="1"/>
        <v>-9.2225478365592721</v>
      </c>
    </row>
    <row r="7" spans="1:10" ht="15.75" x14ac:dyDescent="0.25">
      <c r="A7" s="2" t="s">
        <v>21</v>
      </c>
      <c r="B7" s="1" t="s">
        <v>23</v>
      </c>
      <c r="C7" s="1" t="s">
        <v>81</v>
      </c>
      <c r="D7" s="9">
        <f>'2022a'!L7</f>
        <v>-9.989336370421352</v>
      </c>
      <c r="E7" s="9">
        <f>'2023a'!L8</f>
        <v>-13.704771216322449</v>
      </c>
      <c r="F7" s="9">
        <f t="shared" si="0"/>
        <v>-9.989336370421352</v>
      </c>
      <c r="G7" s="9">
        <f>E12</f>
        <v>-1.5371636490252283</v>
      </c>
      <c r="H7" s="9">
        <f t="shared" si="1"/>
        <v>-13.704771216322449</v>
      </c>
    </row>
    <row r="8" spans="1:10" ht="15.75" x14ac:dyDescent="0.25">
      <c r="A8" s="13" t="s">
        <v>22</v>
      </c>
      <c r="B8" s="1" t="s">
        <v>24</v>
      </c>
      <c r="C8" s="1" t="s">
        <v>83</v>
      </c>
      <c r="D8" s="9">
        <f>'2022a'!L8</f>
        <v>-11.538678432734283</v>
      </c>
      <c r="E8" s="9">
        <f>'2023a'!L9</f>
        <v>-10.053035803806043</v>
      </c>
      <c r="F8" s="9">
        <f t="shared" si="0"/>
        <v>-11.538678432734283</v>
      </c>
      <c r="G8" s="9">
        <f>E7</f>
        <v>-13.704771216322449</v>
      </c>
      <c r="H8" s="9">
        <f t="shared" si="1"/>
        <v>-10.053035803806043</v>
      </c>
    </row>
    <row r="9" spans="1:10" ht="15.75" x14ac:dyDescent="0.25">
      <c r="A9" s="13"/>
      <c r="B9" s="1" t="s">
        <v>25</v>
      </c>
      <c r="C9" s="1" t="s">
        <v>84</v>
      </c>
      <c r="D9" s="9">
        <f>'2022a'!L9</f>
        <v>-10.18752226587625</v>
      </c>
      <c r="E9" s="9">
        <f>'2023a'!L10</f>
        <v>-11.667396906310753</v>
      </c>
      <c r="F9" s="9">
        <f t="shared" si="0"/>
        <v>-10.18752226587625</v>
      </c>
      <c r="G9" s="9">
        <f>E8</f>
        <v>-10.053035803806043</v>
      </c>
      <c r="H9" s="9">
        <f t="shared" si="1"/>
        <v>-11.667396906310753</v>
      </c>
    </row>
    <row r="10" spans="1:10" ht="15.75" x14ac:dyDescent="0.25">
      <c r="A10" s="13"/>
      <c r="B10" s="1" t="s">
        <v>26</v>
      </c>
      <c r="C10" s="1" t="s">
        <v>85</v>
      </c>
      <c r="D10" s="9">
        <f>'2022a'!L10</f>
        <v>-4.6052368239488706</v>
      </c>
      <c r="E10" s="9">
        <f>'2023a'!L11</f>
        <v>-3.7583994625957722</v>
      </c>
      <c r="F10" s="9">
        <f t="shared" si="0"/>
        <v>-4.6052368239488706</v>
      </c>
      <c r="G10" s="9">
        <f>E9</f>
        <v>-11.667396906310753</v>
      </c>
      <c r="H10" s="9">
        <f t="shared" si="1"/>
        <v>-3.7583994625957722</v>
      </c>
    </row>
    <row r="11" spans="1:10" ht="15.75" x14ac:dyDescent="0.25">
      <c r="A11" s="13"/>
      <c r="B11" s="1" t="s">
        <v>35</v>
      </c>
      <c r="C11" s="1" t="s">
        <v>86</v>
      </c>
      <c r="D11" s="9">
        <f>'2022a'!L11</f>
        <v>-9.8900317234700346</v>
      </c>
      <c r="E11" s="9">
        <f>'2023a'!L12</f>
        <v>-15.60298592672655</v>
      </c>
      <c r="F11" s="9">
        <f t="shared" si="0"/>
        <v>-9.8900317234700346</v>
      </c>
      <c r="G11" s="9">
        <f>E10</f>
        <v>-3.7583994625957722</v>
      </c>
      <c r="H11" s="9">
        <f t="shared" si="1"/>
        <v>-15.60298592672655</v>
      </c>
    </row>
    <row r="12" spans="1:10" ht="15.75" x14ac:dyDescent="0.25">
      <c r="A12" s="13"/>
      <c r="B12" s="1" t="s">
        <v>36</v>
      </c>
      <c r="C12" s="1" t="s">
        <v>87</v>
      </c>
      <c r="D12" s="9">
        <f>'2022a'!L12</f>
        <v>-3.675639418432092</v>
      </c>
      <c r="E12" s="9">
        <f>'2023a'!L13</f>
        <v>-1.5371636490252283</v>
      </c>
      <c r="F12" s="9">
        <f t="shared" si="0"/>
        <v>-3.675639418432092</v>
      </c>
      <c r="G12" s="9">
        <f>E11</f>
        <v>-15.60298592672655</v>
      </c>
      <c r="H12" s="9">
        <f t="shared" si="1"/>
        <v>-1.5371636490252283</v>
      </c>
    </row>
    <row r="13" spans="1:10" ht="15.75" x14ac:dyDescent="0.25">
      <c r="A13" s="2" t="s">
        <v>21</v>
      </c>
      <c r="B13" s="1" t="s">
        <v>28</v>
      </c>
      <c r="C13" s="1" t="s">
        <v>88</v>
      </c>
      <c r="D13" s="9">
        <f>'2022a'!L13</f>
        <v>-6.543273408034155</v>
      </c>
      <c r="E13" s="9">
        <f>'2023a'!L14</f>
        <v>-9.4613272688321093</v>
      </c>
      <c r="F13" s="9">
        <f t="shared" si="0"/>
        <v>-6.543273408034155</v>
      </c>
      <c r="G13" s="9">
        <f>E14</f>
        <v>-6.7784571089971246</v>
      </c>
      <c r="H13" s="9">
        <f t="shared" si="1"/>
        <v>-9.4613272688321093</v>
      </c>
    </row>
    <row r="14" spans="1:10" ht="15.75" x14ac:dyDescent="0.25">
      <c r="A14" s="13" t="s">
        <v>27</v>
      </c>
      <c r="B14" s="1" t="s">
        <v>29</v>
      </c>
      <c r="C14" s="1" t="s">
        <v>89</v>
      </c>
      <c r="D14" s="9">
        <f>'2022a'!L14</f>
        <v>-6.8268971984614497</v>
      </c>
      <c r="E14" s="9">
        <f>'2023a'!L15</f>
        <v>-6.7784571089971246</v>
      </c>
      <c r="F14" s="9">
        <f t="shared" si="0"/>
        <v>-6.8268971984614497</v>
      </c>
      <c r="G14" s="9">
        <f>E13</f>
        <v>-9.4613272688321093</v>
      </c>
      <c r="H14" s="9">
        <f t="shared" si="1"/>
        <v>-6.7784571089971246</v>
      </c>
    </row>
    <row r="15" spans="1:10" ht="15.75" x14ac:dyDescent="0.25">
      <c r="A15" s="7"/>
      <c r="B15" s="1" t="s">
        <v>58</v>
      </c>
      <c r="C15" s="1" t="s">
        <v>90</v>
      </c>
      <c r="D15" s="9">
        <f>'2022a'!L15</f>
        <v>-4.0278266903423727</v>
      </c>
      <c r="E15" s="9">
        <f>'2023a'!L16</f>
        <v>-13.272881311933039</v>
      </c>
      <c r="F15" s="9">
        <f t="shared" si="0"/>
        <v>-4.0278266903423727</v>
      </c>
      <c r="G15" s="9">
        <f>E14</f>
        <v>-6.7784571089971246</v>
      </c>
      <c r="H15" s="9">
        <f t="shared" si="1"/>
        <v>-13.272881311933039</v>
      </c>
    </row>
    <row r="16" spans="1:10" ht="15.75" x14ac:dyDescent="0.25">
      <c r="A16" s="2" t="s">
        <v>21</v>
      </c>
      <c r="B16" s="1" t="s">
        <v>30</v>
      </c>
      <c r="C16" s="1" t="s">
        <v>91</v>
      </c>
      <c r="D16" s="9">
        <f>'2022a'!L16</f>
        <v>13.646952974288325</v>
      </c>
      <c r="E16" s="9">
        <f>'2023a'!L17</f>
        <v>-9.644728439746526</v>
      </c>
      <c r="F16" s="9">
        <f t="shared" si="0"/>
        <v>13.646952974288325</v>
      </c>
      <c r="G16" s="9">
        <f>E17</f>
        <v>-11.306996025795833</v>
      </c>
      <c r="H16" s="9">
        <f t="shared" si="1"/>
        <v>-9.644728439746526</v>
      </c>
    </row>
    <row r="17" spans="1:15" ht="15.75" x14ac:dyDescent="0.25">
      <c r="A17" s="2" t="s">
        <v>63</v>
      </c>
      <c r="B17" s="1" t="s">
        <v>64</v>
      </c>
      <c r="C17" s="1" t="s">
        <v>92</v>
      </c>
      <c r="D17" s="9">
        <f>'2022a'!L17</f>
        <v>9.5011013245923479</v>
      </c>
      <c r="E17" s="9">
        <f>'2023a'!L18</f>
        <v>-11.306996025795833</v>
      </c>
      <c r="F17" s="9">
        <f t="shared" si="0"/>
        <v>9.5011013245923479</v>
      </c>
      <c r="G17" s="9">
        <f>E16</f>
        <v>-9.644728439746526</v>
      </c>
      <c r="H17" s="9">
        <f t="shared" si="1"/>
        <v>-11.306996025795833</v>
      </c>
    </row>
    <row r="18" spans="1:15" ht="15.75" x14ac:dyDescent="0.25">
      <c r="A18" s="13" t="s">
        <v>31</v>
      </c>
      <c r="B18" s="14" t="s">
        <v>65</v>
      </c>
      <c r="C18" s="1" t="s">
        <v>93</v>
      </c>
      <c r="D18" s="9">
        <f>'2022a'!L18</f>
        <v>-6.9784191344615536</v>
      </c>
      <c r="E18" s="9">
        <f>'2023a'!L19</f>
        <v>-15.889039480123463</v>
      </c>
      <c r="F18" s="9">
        <f t="shared" si="0"/>
        <v>-6.9784191344615536</v>
      </c>
      <c r="G18" s="9">
        <f>E17</f>
        <v>-11.306996025795833</v>
      </c>
      <c r="H18" s="9">
        <f t="shared" si="1"/>
        <v>-15.889039480123463</v>
      </c>
    </row>
    <row r="19" spans="1:15" ht="15.75" x14ac:dyDescent="0.25">
      <c r="A19" s="7" t="s">
        <v>32</v>
      </c>
      <c r="B19" s="1"/>
      <c r="C19" s="1"/>
      <c r="D19" s="9"/>
      <c r="E19" s="9"/>
      <c r="F19" s="9"/>
      <c r="G19" s="9"/>
      <c r="H19" s="9"/>
    </row>
    <row r="22" spans="1:15" ht="15.75" x14ac:dyDescent="0.25">
      <c r="A22" s="30" t="s">
        <v>137</v>
      </c>
    </row>
    <row r="24" spans="1:15" ht="15.75" x14ac:dyDescent="0.25">
      <c r="A24" s="2" t="s">
        <v>0</v>
      </c>
      <c r="B24" s="2" t="s">
        <v>1</v>
      </c>
      <c r="C24" s="3" t="s">
        <v>45</v>
      </c>
      <c r="D24" s="57" t="s">
        <v>54</v>
      </c>
      <c r="E24" s="58"/>
      <c r="F24" s="58"/>
      <c r="G24" s="58"/>
      <c r="H24" s="58"/>
      <c r="I24" s="58"/>
      <c r="J24" s="58"/>
      <c r="K24" s="58"/>
      <c r="L24" s="58"/>
      <c r="M24" s="58"/>
      <c r="N24" s="59"/>
      <c r="O24" s="3" t="s">
        <v>55</v>
      </c>
    </row>
    <row r="25" spans="1:15" ht="15.75" x14ac:dyDescent="0.25">
      <c r="A25" s="7"/>
      <c r="B25" s="7"/>
      <c r="C25" s="8" t="s">
        <v>38</v>
      </c>
      <c r="D25" s="9" t="s">
        <v>42</v>
      </c>
      <c r="E25" s="9" t="s">
        <v>43</v>
      </c>
      <c r="F25" s="9" t="s">
        <v>44</v>
      </c>
      <c r="G25" s="9" t="s">
        <v>46</v>
      </c>
      <c r="H25" s="9" t="s">
        <v>47</v>
      </c>
      <c r="I25" s="9" t="s">
        <v>48</v>
      </c>
      <c r="J25" s="9" t="s">
        <v>49</v>
      </c>
      <c r="K25" s="9" t="s">
        <v>50</v>
      </c>
      <c r="L25" s="9" t="s">
        <v>51</v>
      </c>
      <c r="M25" s="9" t="s">
        <v>52</v>
      </c>
      <c r="N25" s="9" t="s">
        <v>53</v>
      </c>
      <c r="O25" s="8" t="s">
        <v>38</v>
      </c>
    </row>
    <row r="26" spans="1:15" ht="15.75" x14ac:dyDescent="0.25">
      <c r="A26" s="2" t="s">
        <v>17</v>
      </c>
      <c r="B26" s="1" t="s">
        <v>19</v>
      </c>
      <c r="C26" s="1">
        <f>F5</f>
        <v>-0.48006313905753739</v>
      </c>
      <c r="D26" s="1"/>
      <c r="E26" s="1"/>
      <c r="F26" s="1"/>
      <c r="G26" s="1"/>
      <c r="H26" s="1">
        <f>-(C26)/3</f>
        <v>0.16002104635251246</v>
      </c>
      <c r="I26" s="40">
        <f>(C26+3)/3</f>
        <v>0.83997895364748754</v>
      </c>
      <c r="J26" s="1"/>
      <c r="K26" s="1"/>
      <c r="L26" s="1"/>
      <c r="M26" s="1"/>
      <c r="N26" s="15"/>
      <c r="O26" s="15" t="s">
        <v>48</v>
      </c>
    </row>
    <row r="27" spans="1:15" ht="15.75" x14ac:dyDescent="0.25">
      <c r="A27" s="7" t="s">
        <v>18</v>
      </c>
      <c r="B27" s="1" t="s">
        <v>20</v>
      </c>
      <c r="C27" s="1">
        <f t="shared" ref="C27:C40" si="2">F6</f>
        <v>-6.0942730339893503</v>
      </c>
      <c r="D27" s="1"/>
      <c r="E27" s="1"/>
      <c r="F27" s="1">
        <f>(-6-(C27))/3</f>
        <v>3.1424344663116756E-2</v>
      </c>
      <c r="G27" s="40">
        <f>(C27+9)/3</f>
        <v>0.96857565533688328</v>
      </c>
      <c r="H27" s="1"/>
      <c r="I27" s="1"/>
      <c r="J27" s="1"/>
      <c r="K27" s="1"/>
      <c r="L27" s="1"/>
      <c r="M27" s="1"/>
      <c r="N27" s="1"/>
      <c r="O27" s="15" t="s">
        <v>46</v>
      </c>
    </row>
    <row r="28" spans="1:15" ht="15.75" x14ac:dyDescent="0.25">
      <c r="A28" s="2" t="s">
        <v>21</v>
      </c>
      <c r="B28" s="1" t="s">
        <v>23</v>
      </c>
      <c r="C28" s="1">
        <f t="shared" si="2"/>
        <v>-9.989336370421352</v>
      </c>
      <c r="D28" s="1"/>
      <c r="E28" s="1">
        <f>(-9-C28)/3</f>
        <v>0.32977879014045069</v>
      </c>
      <c r="F28" s="40">
        <f>(C28+12)/3</f>
        <v>0.67022120985954936</v>
      </c>
      <c r="G28" s="1"/>
      <c r="H28" s="1"/>
      <c r="I28" s="1"/>
      <c r="J28" s="1"/>
      <c r="K28" s="1"/>
      <c r="L28" s="1"/>
      <c r="M28" s="1"/>
      <c r="N28" s="15"/>
      <c r="O28" s="15" t="s">
        <v>44</v>
      </c>
    </row>
    <row r="29" spans="1:15" ht="15.75" x14ac:dyDescent="0.25">
      <c r="A29" s="13" t="s">
        <v>22</v>
      </c>
      <c r="B29" s="1" t="s">
        <v>24</v>
      </c>
      <c r="C29" s="1">
        <f t="shared" si="2"/>
        <v>-11.538678432734283</v>
      </c>
      <c r="D29" s="1"/>
      <c r="E29" s="40">
        <f>(-9-C29)/3</f>
        <v>0.84622614424476106</v>
      </c>
      <c r="F29" s="1">
        <f>(C29+12)/3</f>
        <v>0.15377385575523897</v>
      </c>
      <c r="G29" s="1"/>
      <c r="H29" s="1"/>
      <c r="I29" s="1"/>
      <c r="J29" s="1"/>
      <c r="K29" s="1"/>
      <c r="L29" s="1"/>
      <c r="M29" s="1"/>
      <c r="N29" s="1"/>
      <c r="O29" s="15" t="s">
        <v>43</v>
      </c>
    </row>
    <row r="30" spans="1:15" ht="15.75" x14ac:dyDescent="0.25">
      <c r="A30" s="13"/>
      <c r="B30" s="1" t="s">
        <v>25</v>
      </c>
      <c r="C30" s="1">
        <f t="shared" si="2"/>
        <v>-10.18752226587625</v>
      </c>
      <c r="D30" s="1"/>
      <c r="E30" s="1">
        <f>(-9-C30)/3</f>
        <v>0.39584075529208346</v>
      </c>
      <c r="F30" s="40">
        <f>(C30+12)/3</f>
        <v>0.6041592447079166</v>
      </c>
      <c r="G30" s="1"/>
      <c r="H30" s="1"/>
      <c r="I30" s="1"/>
      <c r="J30" s="1"/>
      <c r="K30" s="1"/>
      <c r="L30" s="1"/>
      <c r="M30" s="1"/>
      <c r="N30" s="1"/>
      <c r="O30" s="15" t="s">
        <v>44</v>
      </c>
    </row>
    <row r="31" spans="1:15" ht="15.75" x14ac:dyDescent="0.25">
      <c r="A31" s="13"/>
      <c r="B31" s="1" t="s">
        <v>26</v>
      </c>
      <c r="C31" s="1">
        <f t="shared" si="2"/>
        <v>-4.6052368239488706</v>
      </c>
      <c r="D31" s="1"/>
      <c r="E31" s="1"/>
      <c r="F31" s="40">
        <f>(C30+12)/3</f>
        <v>0.6041592447079166</v>
      </c>
      <c r="G31" s="1">
        <f>(-3-C31)/3</f>
        <v>0.53507894131629019</v>
      </c>
      <c r="H31" s="1"/>
      <c r="I31" s="1"/>
      <c r="J31" s="1"/>
      <c r="K31" s="1"/>
      <c r="L31" s="1"/>
      <c r="M31" s="1"/>
      <c r="N31" s="1"/>
      <c r="O31" s="15" t="s">
        <v>44</v>
      </c>
    </row>
    <row r="32" spans="1:15" ht="15.75" x14ac:dyDescent="0.25">
      <c r="A32" s="13"/>
      <c r="B32" s="1" t="s">
        <v>35</v>
      </c>
      <c r="C32" s="1">
        <f t="shared" si="2"/>
        <v>-9.8900317234700346</v>
      </c>
      <c r="D32" s="1"/>
      <c r="E32" s="1">
        <f>(-9-C32)/3</f>
        <v>0.29667724115667821</v>
      </c>
      <c r="F32" s="40">
        <f>(C32+12)/3</f>
        <v>0.70332275884332185</v>
      </c>
      <c r="G32" s="1"/>
      <c r="H32" s="1"/>
      <c r="I32" s="1"/>
      <c r="J32" s="1"/>
      <c r="K32" s="1"/>
      <c r="L32" s="1"/>
      <c r="M32" s="1"/>
      <c r="N32" s="1"/>
      <c r="O32" s="15" t="s">
        <v>44</v>
      </c>
    </row>
    <row r="33" spans="1:15" ht="15.75" x14ac:dyDescent="0.25">
      <c r="A33" s="13"/>
      <c r="B33" s="1" t="s">
        <v>36</v>
      </c>
      <c r="C33" s="1">
        <f t="shared" si="2"/>
        <v>-3.675639418432092</v>
      </c>
      <c r="D33" s="1"/>
      <c r="E33" s="1"/>
      <c r="F33" s="1"/>
      <c r="G33" s="1">
        <f>(-3-C33)/3</f>
        <v>0.22521313947736399</v>
      </c>
      <c r="H33" s="40">
        <f>(C33+6)/3</f>
        <v>0.77478686052263601</v>
      </c>
      <c r="I33" s="1"/>
      <c r="J33" s="1"/>
      <c r="K33" s="1"/>
      <c r="L33" s="1"/>
      <c r="M33" s="1"/>
      <c r="N33" s="1"/>
      <c r="O33" s="15" t="s">
        <v>47</v>
      </c>
    </row>
    <row r="34" spans="1:15" ht="15.75" x14ac:dyDescent="0.25">
      <c r="A34" s="2" t="s">
        <v>21</v>
      </c>
      <c r="B34" s="1" t="s">
        <v>28</v>
      </c>
      <c r="C34" s="1">
        <f t="shared" si="2"/>
        <v>-6.543273408034155</v>
      </c>
      <c r="D34" s="1"/>
      <c r="E34" s="1"/>
      <c r="F34" s="1">
        <f>(-6-C34)/3</f>
        <v>0.18109113601138502</v>
      </c>
      <c r="G34" s="40">
        <f>(C34+9)/3</f>
        <v>0.81890886398861495</v>
      </c>
      <c r="H34" s="1"/>
      <c r="I34" s="1"/>
      <c r="J34" s="1"/>
      <c r="K34" s="1"/>
      <c r="L34" s="1"/>
      <c r="M34" s="1"/>
      <c r="N34" s="1"/>
      <c r="O34" s="15" t="s">
        <v>46</v>
      </c>
    </row>
    <row r="35" spans="1:15" ht="15.75" x14ac:dyDescent="0.25">
      <c r="A35" s="13" t="s">
        <v>27</v>
      </c>
      <c r="B35" s="1" t="s">
        <v>29</v>
      </c>
      <c r="C35" s="1">
        <f t="shared" si="2"/>
        <v>-6.8268971984614497</v>
      </c>
      <c r="D35" s="1"/>
      <c r="E35" s="1"/>
      <c r="F35" s="1">
        <f>(-6-C35)/3</f>
        <v>0.2756323994871499</v>
      </c>
      <c r="G35" s="40">
        <f>(C35+9)/3</f>
        <v>0.7243676005128501</v>
      </c>
      <c r="H35" s="1"/>
      <c r="I35" s="1"/>
      <c r="J35" s="1"/>
      <c r="K35" s="1"/>
      <c r="L35" s="1"/>
      <c r="M35" s="1"/>
      <c r="N35" s="1"/>
      <c r="O35" s="15" t="s">
        <v>46</v>
      </c>
    </row>
    <row r="36" spans="1:15" ht="15.75" x14ac:dyDescent="0.25">
      <c r="A36" s="13"/>
      <c r="B36" s="1" t="s">
        <v>58</v>
      </c>
      <c r="C36" s="1">
        <f t="shared" si="2"/>
        <v>-4.0278266903423727</v>
      </c>
      <c r="D36" s="15"/>
      <c r="E36" s="1"/>
      <c r="F36" s="1"/>
      <c r="G36" s="1">
        <f>(-3-C36)/3</f>
        <v>0.34260889678079093</v>
      </c>
      <c r="H36" s="40">
        <f>(C36+6)/3</f>
        <v>0.65739110321920913</v>
      </c>
      <c r="I36" s="1"/>
      <c r="J36" s="1"/>
      <c r="K36" s="1"/>
      <c r="L36" s="1"/>
      <c r="M36" s="1"/>
      <c r="N36" s="1"/>
      <c r="O36" s="15" t="s">
        <v>47</v>
      </c>
    </row>
    <row r="37" spans="1:15" ht="15.75" x14ac:dyDescent="0.25">
      <c r="A37" s="2" t="s">
        <v>21</v>
      </c>
      <c r="B37" s="22" t="s">
        <v>30</v>
      </c>
      <c r="C37" s="1">
        <f t="shared" si="2"/>
        <v>13.646952974288325</v>
      </c>
      <c r="D37" s="1"/>
      <c r="E37" s="1"/>
      <c r="F37" s="1"/>
      <c r="G37" s="1"/>
      <c r="H37" s="1"/>
      <c r="I37" s="1"/>
      <c r="J37" s="1"/>
      <c r="K37" s="1"/>
      <c r="L37" s="1"/>
      <c r="M37" s="1">
        <f>(15-C37)/3</f>
        <v>0.45101567523722491</v>
      </c>
      <c r="N37" s="40">
        <f>(C37-12)/3</f>
        <v>0.54898432476277514</v>
      </c>
      <c r="O37" s="15" t="s">
        <v>53</v>
      </c>
    </row>
    <row r="38" spans="1:15" ht="15.75" x14ac:dyDescent="0.25">
      <c r="A38" s="13" t="s">
        <v>63</v>
      </c>
      <c r="B38" s="22" t="s">
        <v>33</v>
      </c>
      <c r="C38" s="1">
        <f t="shared" si="2"/>
        <v>9.5011013245923479</v>
      </c>
      <c r="D38" s="1"/>
      <c r="E38" s="1"/>
      <c r="F38" s="1"/>
      <c r="G38" s="1"/>
      <c r="H38" s="1"/>
      <c r="I38" s="1"/>
      <c r="J38" s="1"/>
      <c r="K38" s="1"/>
      <c r="L38" s="40">
        <f>(12-C38)/3</f>
        <v>0.83296622513588403</v>
      </c>
      <c r="M38" s="1">
        <f>(C38-9)/3</f>
        <v>0.16703377486411597</v>
      </c>
      <c r="N38" s="9"/>
      <c r="O38" s="15" t="s">
        <v>51</v>
      </c>
    </row>
    <row r="39" spans="1:15" ht="15.75" x14ac:dyDescent="0.25">
      <c r="A39" s="13" t="s">
        <v>31</v>
      </c>
      <c r="B39" s="23" t="s">
        <v>34</v>
      </c>
      <c r="C39" s="1">
        <f t="shared" si="2"/>
        <v>-6.9784191344615536</v>
      </c>
      <c r="D39" s="1"/>
      <c r="E39" s="1"/>
      <c r="F39" s="1">
        <f>(-6-C39)/3</f>
        <v>0.32613971148718451</v>
      </c>
      <c r="G39" s="40">
        <f>(C39+9)/3</f>
        <v>0.67386028851281543</v>
      </c>
      <c r="H39" s="1"/>
      <c r="I39" s="1"/>
      <c r="J39" s="1"/>
      <c r="K39" s="1"/>
      <c r="L39" s="1"/>
      <c r="M39" s="1"/>
      <c r="N39" s="1"/>
      <c r="O39" s="15" t="s">
        <v>46</v>
      </c>
    </row>
    <row r="40" spans="1:15" ht="15.75" x14ac:dyDescent="0.25">
      <c r="A40" s="7" t="s">
        <v>32</v>
      </c>
      <c r="B40" s="22"/>
      <c r="C40" s="1">
        <f t="shared" si="2"/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5"/>
    </row>
    <row r="41" spans="1:15" ht="15.75" x14ac:dyDescent="0.25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ht="15.75" x14ac:dyDescent="0.25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15.75" x14ac:dyDescent="0.25">
      <c r="A43" s="30" t="s">
        <v>138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.75" x14ac:dyDescent="0.25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5.75" x14ac:dyDescent="0.25">
      <c r="A45" s="2" t="s">
        <v>0</v>
      </c>
      <c r="B45" s="2" t="s">
        <v>1</v>
      </c>
      <c r="C45" s="3" t="s">
        <v>45</v>
      </c>
      <c r="D45" s="57" t="s">
        <v>54</v>
      </c>
      <c r="E45" s="58"/>
      <c r="F45" s="58"/>
      <c r="G45" s="58"/>
      <c r="H45" s="58"/>
      <c r="I45" s="58"/>
      <c r="J45" s="58"/>
      <c r="K45" s="58"/>
      <c r="L45" s="58"/>
      <c r="M45" s="58"/>
      <c r="N45" s="59"/>
      <c r="O45" s="3" t="s">
        <v>55</v>
      </c>
    </row>
    <row r="46" spans="1:15" ht="15.75" x14ac:dyDescent="0.25">
      <c r="A46" s="7"/>
      <c r="B46" s="7"/>
      <c r="C46" s="8" t="s">
        <v>39</v>
      </c>
      <c r="D46" s="9" t="s">
        <v>42</v>
      </c>
      <c r="E46" s="9" t="s">
        <v>43</v>
      </c>
      <c r="F46" s="9" t="s">
        <v>44</v>
      </c>
      <c r="G46" s="9" t="s">
        <v>46</v>
      </c>
      <c r="H46" s="9" t="s">
        <v>47</v>
      </c>
      <c r="I46" s="9" t="s">
        <v>48</v>
      </c>
      <c r="J46" s="9" t="s">
        <v>49</v>
      </c>
      <c r="K46" s="9" t="s">
        <v>50</v>
      </c>
      <c r="L46" s="9" t="s">
        <v>51</v>
      </c>
      <c r="M46" s="9" t="s">
        <v>52</v>
      </c>
      <c r="N46" s="9" t="s">
        <v>53</v>
      </c>
      <c r="O46" s="8" t="s">
        <v>39</v>
      </c>
    </row>
    <row r="47" spans="1:15" ht="15.75" x14ac:dyDescent="0.25">
      <c r="A47" s="2" t="s">
        <v>17</v>
      </c>
      <c r="B47" s="1" t="s">
        <v>19</v>
      </c>
      <c r="C47" s="1">
        <v>-9.2225478365592721</v>
      </c>
      <c r="D47" s="15"/>
      <c r="E47" s="1">
        <f>(-9-C47)/3</f>
        <v>7.4182612186424038E-2</v>
      </c>
      <c r="F47" s="40">
        <f>(C47+12)/3</f>
        <v>0.92581738781357592</v>
      </c>
      <c r="G47" s="15"/>
      <c r="H47" s="15"/>
      <c r="I47" s="15"/>
      <c r="J47" s="15"/>
      <c r="K47" s="15"/>
      <c r="L47" s="15"/>
      <c r="M47" s="15"/>
      <c r="N47" s="15"/>
      <c r="O47" s="15" t="s">
        <v>44</v>
      </c>
    </row>
    <row r="48" spans="1:15" ht="15.75" x14ac:dyDescent="0.25">
      <c r="A48" s="7" t="s">
        <v>18</v>
      </c>
      <c r="B48" s="1" t="s">
        <v>20</v>
      </c>
      <c r="C48" s="1">
        <v>-11.285594342161463</v>
      </c>
      <c r="D48" s="15"/>
      <c r="E48" s="40">
        <f>(-9-C48)/3</f>
        <v>0.7618647807204878</v>
      </c>
      <c r="F48" s="1">
        <f>(C48+12)/3</f>
        <v>0.23813521927951223</v>
      </c>
      <c r="G48" s="15"/>
      <c r="H48" s="15"/>
      <c r="I48" s="15"/>
      <c r="J48" s="15"/>
      <c r="K48" s="15"/>
      <c r="L48" s="15"/>
      <c r="M48" s="15"/>
      <c r="N48" s="15"/>
      <c r="O48" s="15" t="s">
        <v>43</v>
      </c>
    </row>
    <row r="49" spans="1:15" ht="15.75" x14ac:dyDescent="0.25">
      <c r="A49" s="2" t="s">
        <v>21</v>
      </c>
      <c r="B49" s="1" t="s">
        <v>23</v>
      </c>
      <c r="C49" s="1">
        <v>-1.5371636490252283</v>
      </c>
      <c r="D49" s="15"/>
      <c r="E49" s="15"/>
      <c r="F49" s="15"/>
      <c r="G49" s="15"/>
      <c r="H49" s="40">
        <f>(-(C49))/3</f>
        <v>0.51238788300840943</v>
      </c>
      <c r="I49" s="1">
        <f>(C49+3)/3</f>
        <v>0.48761211699159057</v>
      </c>
      <c r="J49" s="15"/>
      <c r="K49" s="15"/>
      <c r="L49" s="15"/>
      <c r="M49" s="15"/>
      <c r="N49" s="15"/>
      <c r="O49" s="15" t="s">
        <v>47</v>
      </c>
    </row>
    <row r="50" spans="1:15" ht="15.75" x14ac:dyDescent="0.25">
      <c r="A50" s="13" t="s">
        <v>22</v>
      </c>
      <c r="B50" s="1" t="s">
        <v>24</v>
      </c>
      <c r="C50" s="1">
        <v>-13.704771216322449</v>
      </c>
      <c r="D50" s="15">
        <f>(-12-C50)/3</f>
        <v>0.568257072107483</v>
      </c>
      <c r="E50" s="15">
        <f>(C50+15)/3</f>
        <v>0.43174292789251706</v>
      </c>
      <c r="F50" s="15"/>
      <c r="G50" s="15"/>
      <c r="H50" s="15"/>
      <c r="I50" s="15"/>
      <c r="J50" s="15"/>
      <c r="K50" s="15"/>
      <c r="L50" s="15"/>
      <c r="M50" s="15"/>
      <c r="N50" s="15"/>
      <c r="O50" s="15" t="s">
        <v>42</v>
      </c>
    </row>
    <row r="51" spans="1:15" ht="15.75" x14ac:dyDescent="0.25">
      <c r="A51" s="13"/>
      <c r="B51" s="1" t="s">
        <v>25</v>
      </c>
      <c r="C51" s="1">
        <v>-10.053035803806043</v>
      </c>
      <c r="D51" s="15"/>
      <c r="E51" s="1">
        <f>(-9-C51)/3</f>
        <v>0.35101193460201446</v>
      </c>
      <c r="F51" s="40">
        <f>(C51+12)/3</f>
        <v>0.64898806539798548</v>
      </c>
      <c r="G51" s="15"/>
      <c r="H51" s="15"/>
      <c r="I51" s="15"/>
      <c r="J51" s="15"/>
      <c r="K51" s="15"/>
      <c r="L51" s="15"/>
      <c r="M51" s="15"/>
      <c r="N51" s="15"/>
      <c r="O51" s="15" t="s">
        <v>44</v>
      </c>
    </row>
    <row r="52" spans="1:15" ht="15.75" x14ac:dyDescent="0.25">
      <c r="A52" s="13"/>
      <c r="B52" s="1" t="s">
        <v>26</v>
      </c>
      <c r="C52" s="1">
        <v>-11.667396906310753</v>
      </c>
      <c r="D52" s="15"/>
      <c r="E52" s="40">
        <f>(-9-C52)/3</f>
        <v>0.88913230210358429</v>
      </c>
      <c r="F52" s="1">
        <f>(C52+12)/3</f>
        <v>0.11086769789641575</v>
      </c>
      <c r="G52" s="15"/>
      <c r="H52" s="15"/>
      <c r="I52" s="15"/>
      <c r="J52" s="15"/>
      <c r="K52" s="15"/>
      <c r="L52" s="15"/>
      <c r="M52" s="15"/>
      <c r="N52" s="15"/>
      <c r="O52" s="15" t="s">
        <v>43</v>
      </c>
    </row>
    <row r="53" spans="1:15" ht="15.75" x14ac:dyDescent="0.25">
      <c r="A53" s="13"/>
      <c r="B53" s="1" t="s">
        <v>35</v>
      </c>
      <c r="C53" s="1">
        <v>-3.7583994625957722</v>
      </c>
      <c r="D53" s="15"/>
      <c r="E53" s="15"/>
      <c r="F53" s="15"/>
      <c r="G53" s="15">
        <f>(-3-C53)/3</f>
        <v>0.25279982086525737</v>
      </c>
      <c r="H53" s="40">
        <f>(C53+6)/3</f>
        <v>0.74720017913474257</v>
      </c>
      <c r="I53" s="1"/>
      <c r="J53" s="15"/>
      <c r="K53" s="15"/>
      <c r="L53" s="15"/>
      <c r="M53" s="15"/>
      <c r="N53" s="15"/>
      <c r="O53" s="15" t="s">
        <v>47</v>
      </c>
    </row>
    <row r="54" spans="1:15" ht="15.75" x14ac:dyDescent="0.25">
      <c r="A54" s="13"/>
      <c r="B54" s="1" t="s">
        <v>36</v>
      </c>
      <c r="C54" s="1">
        <v>-15.60298592672655</v>
      </c>
      <c r="D54" s="15">
        <v>1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 t="s">
        <v>42</v>
      </c>
    </row>
    <row r="55" spans="1:15" ht="15.75" x14ac:dyDescent="0.25">
      <c r="A55" s="2" t="s">
        <v>21</v>
      </c>
      <c r="B55" s="1" t="s">
        <v>28</v>
      </c>
      <c r="C55" s="1">
        <v>-6.7784571089971246</v>
      </c>
      <c r="D55" s="15"/>
      <c r="E55" s="15"/>
      <c r="F55" s="15">
        <f>(-6-C55)/3</f>
        <v>0.25948570299904156</v>
      </c>
      <c r="G55" s="52">
        <f>(C55+9)/3</f>
        <v>0.7405142970009585</v>
      </c>
      <c r="H55" s="1"/>
      <c r="I55" s="15"/>
      <c r="J55" s="15"/>
      <c r="K55" s="15"/>
      <c r="L55" s="15"/>
      <c r="M55" s="15"/>
      <c r="N55" s="15"/>
      <c r="O55" s="15" t="s">
        <v>46</v>
      </c>
    </row>
    <row r="56" spans="1:15" ht="15.75" x14ac:dyDescent="0.25">
      <c r="A56" s="13" t="s">
        <v>27</v>
      </c>
      <c r="B56" s="1" t="s">
        <v>29</v>
      </c>
      <c r="C56" s="1">
        <v>-9.4613272688321093</v>
      </c>
      <c r="D56" s="15"/>
      <c r="E56" s="1">
        <f>(-9-C56)/3</f>
        <v>0.15377575627736975</v>
      </c>
      <c r="F56" s="40">
        <f>(C56+12)/3</f>
        <v>0.84622424372263028</v>
      </c>
      <c r="G56" s="15"/>
      <c r="H56" s="15"/>
      <c r="I56" s="15"/>
      <c r="J56" s="15"/>
      <c r="K56" s="15"/>
      <c r="L56" s="15"/>
      <c r="M56" s="15"/>
      <c r="N56" s="15"/>
      <c r="O56" s="15" t="s">
        <v>44</v>
      </c>
    </row>
    <row r="57" spans="1:15" ht="15.75" x14ac:dyDescent="0.25">
      <c r="A57" s="13"/>
      <c r="B57" s="1" t="s">
        <v>58</v>
      </c>
      <c r="C57" s="1">
        <v>-6.7784571089971246</v>
      </c>
      <c r="D57" s="15"/>
      <c r="E57" s="15"/>
      <c r="F57" s="15">
        <f>(-6-C57)/3</f>
        <v>0.25948570299904156</v>
      </c>
      <c r="G57" s="52">
        <f>(C57+9)/3</f>
        <v>0.7405142970009585</v>
      </c>
      <c r="H57" s="15"/>
      <c r="I57" s="15"/>
      <c r="J57" s="15"/>
      <c r="K57" s="15"/>
      <c r="L57" s="15"/>
      <c r="M57" s="15"/>
      <c r="N57" s="15"/>
      <c r="O57" s="15" t="s">
        <v>46</v>
      </c>
    </row>
    <row r="58" spans="1:15" ht="15.75" x14ac:dyDescent="0.25">
      <c r="A58" s="2" t="s">
        <v>21</v>
      </c>
      <c r="B58" s="22" t="s">
        <v>30</v>
      </c>
      <c r="C58" s="1">
        <v>-11.306996025795833</v>
      </c>
      <c r="D58" s="15"/>
      <c r="E58" s="40">
        <f>(-9-C58)/3</f>
        <v>0.76899867526527765</v>
      </c>
      <c r="F58" s="1">
        <f>(C58+12)/3</f>
        <v>0.23100132473472237</v>
      </c>
      <c r="G58" s="15"/>
      <c r="H58" s="15"/>
      <c r="I58" s="15"/>
      <c r="J58" s="15"/>
      <c r="K58" s="15"/>
      <c r="L58" s="15"/>
      <c r="M58" s="15"/>
      <c r="N58" s="15"/>
      <c r="O58" s="15" t="s">
        <v>43</v>
      </c>
    </row>
    <row r="59" spans="1:15" ht="15.75" x14ac:dyDescent="0.25">
      <c r="A59" s="13" t="s">
        <v>63</v>
      </c>
      <c r="B59" s="22" t="s">
        <v>64</v>
      </c>
      <c r="C59" s="1">
        <v>-9.644728439746526</v>
      </c>
      <c r="D59" s="15"/>
      <c r="E59" s="1">
        <f>(-9-C59)/3</f>
        <v>0.21490947991550868</v>
      </c>
      <c r="F59" s="40">
        <f>(C59+12)/3</f>
        <v>0.78509052008449132</v>
      </c>
      <c r="G59" s="15"/>
      <c r="H59" s="15"/>
      <c r="I59" s="15"/>
      <c r="J59" s="15"/>
      <c r="K59" s="15"/>
      <c r="L59" s="15"/>
      <c r="M59" s="15"/>
      <c r="N59" s="15"/>
      <c r="O59" s="15" t="s">
        <v>44</v>
      </c>
    </row>
    <row r="60" spans="1:15" ht="15.75" x14ac:dyDescent="0.25">
      <c r="A60" s="13" t="s">
        <v>31</v>
      </c>
      <c r="B60" s="23" t="s">
        <v>65</v>
      </c>
      <c r="C60" s="1">
        <v>-11.306996025795833</v>
      </c>
      <c r="D60" s="15"/>
      <c r="E60" s="40">
        <f>(-9-C60)/3</f>
        <v>0.76899867526527765</v>
      </c>
      <c r="F60" s="1">
        <f>(C60+12)/3</f>
        <v>0.23100132473472237</v>
      </c>
      <c r="G60" s="15"/>
      <c r="H60" s="15"/>
      <c r="I60" s="15"/>
      <c r="J60" s="15"/>
      <c r="K60" s="15"/>
      <c r="L60" s="15"/>
      <c r="M60" s="15"/>
      <c r="N60" s="15"/>
      <c r="O60" s="15" t="s">
        <v>43</v>
      </c>
    </row>
    <row r="61" spans="1:15" ht="15.75" x14ac:dyDescent="0.25">
      <c r="A61" s="7" t="s">
        <v>32</v>
      </c>
      <c r="B61" s="22"/>
      <c r="C61" s="1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5.75" x14ac:dyDescent="0.25"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1:15" ht="15.75" x14ac:dyDescent="0.25"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ht="15.75" x14ac:dyDescent="0.25">
      <c r="A64" s="30" t="s">
        <v>139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1:15" ht="15.75" x14ac:dyDescent="0.25"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ht="15.75" x14ac:dyDescent="0.25">
      <c r="A66" s="2" t="s">
        <v>0</v>
      </c>
      <c r="B66" s="2" t="s">
        <v>1</v>
      </c>
      <c r="C66" s="3" t="s">
        <v>45</v>
      </c>
      <c r="D66" s="57" t="s">
        <v>54</v>
      </c>
      <c r="E66" s="58"/>
      <c r="F66" s="58"/>
      <c r="G66" s="58"/>
      <c r="H66" s="58"/>
      <c r="I66" s="58"/>
      <c r="J66" s="58"/>
      <c r="K66" s="58"/>
      <c r="L66" s="58"/>
      <c r="M66" s="58"/>
      <c r="N66" s="59"/>
      <c r="O66" s="3" t="s">
        <v>55</v>
      </c>
    </row>
    <row r="67" spans="1:15" ht="15.75" x14ac:dyDescent="0.25">
      <c r="A67" s="7"/>
      <c r="B67" s="7"/>
      <c r="C67" s="8" t="s">
        <v>40</v>
      </c>
      <c r="D67" s="9" t="s">
        <v>42</v>
      </c>
      <c r="E67" s="9" t="s">
        <v>43</v>
      </c>
      <c r="F67" s="9" t="s">
        <v>44</v>
      </c>
      <c r="G67" s="9" t="s">
        <v>46</v>
      </c>
      <c r="H67" s="9" t="s">
        <v>47</v>
      </c>
      <c r="I67" s="9" t="s">
        <v>48</v>
      </c>
      <c r="J67" s="9" t="s">
        <v>49</v>
      </c>
      <c r="K67" s="9" t="s">
        <v>50</v>
      </c>
      <c r="L67" s="9" t="s">
        <v>51</v>
      </c>
      <c r="M67" s="9" t="s">
        <v>52</v>
      </c>
      <c r="N67" s="9" t="s">
        <v>53</v>
      </c>
      <c r="O67" s="8" t="s">
        <v>40</v>
      </c>
    </row>
    <row r="68" spans="1:15" ht="15.75" x14ac:dyDescent="0.25">
      <c r="A68" s="2" t="s">
        <v>17</v>
      </c>
      <c r="B68" s="1" t="s">
        <v>19</v>
      </c>
      <c r="C68" s="1">
        <f>H5</f>
        <v>-11.285594342161463</v>
      </c>
      <c r="D68" s="15"/>
      <c r="E68" s="40">
        <f>(-9-C68)/3</f>
        <v>0.7618647807204878</v>
      </c>
      <c r="F68" s="1">
        <f>(C68+12)/3</f>
        <v>0.23813521927951223</v>
      </c>
      <c r="G68" s="15"/>
      <c r="H68" s="15"/>
      <c r="I68" s="15"/>
      <c r="J68" s="15"/>
      <c r="K68" s="15"/>
      <c r="L68" s="15"/>
      <c r="M68" s="15"/>
      <c r="N68" s="15"/>
      <c r="O68" s="15" t="s">
        <v>43</v>
      </c>
    </row>
    <row r="69" spans="1:15" ht="15.75" x14ac:dyDescent="0.25">
      <c r="A69" s="7" t="s">
        <v>18</v>
      </c>
      <c r="B69" s="1" t="s">
        <v>20</v>
      </c>
      <c r="C69" s="1">
        <f t="shared" ref="C69:C81" si="3">H6</f>
        <v>-9.2225478365592721</v>
      </c>
      <c r="D69" s="15"/>
      <c r="E69" s="1">
        <f>(-9-C69)/3</f>
        <v>7.4182612186424038E-2</v>
      </c>
      <c r="F69" s="40">
        <f>(C69+12)/3</f>
        <v>0.92581738781357592</v>
      </c>
      <c r="G69" s="15"/>
      <c r="H69" s="15"/>
      <c r="I69" s="15"/>
      <c r="J69" s="15"/>
      <c r="K69" s="15"/>
      <c r="L69" s="15"/>
      <c r="M69" s="15"/>
      <c r="N69" s="15"/>
      <c r="O69" s="15" t="s">
        <v>44</v>
      </c>
    </row>
    <row r="70" spans="1:15" ht="15.75" x14ac:dyDescent="0.25">
      <c r="A70" s="2" t="s">
        <v>21</v>
      </c>
      <c r="B70" s="1" t="s">
        <v>23</v>
      </c>
      <c r="C70" s="1">
        <f t="shared" si="3"/>
        <v>-13.704771216322449</v>
      </c>
      <c r="D70" s="52">
        <f>(-12-C70)/3</f>
        <v>0.568257072107483</v>
      </c>
      <c r="E70" s="15">
        <f>(C70+15)/3</f>
        <v>0.43174292789251706</v>
      </c>
      <c r="F70" s="15"/>
      <c r="G70" s="15"/>
      <c r="H70" s="15"/>
      <c r="I70" s="15"/>
      <c r="J70" s="15"/>
      <c r="K70" s="15"/>
      <c r="L70" s="15"/>
      <c r="M70" s="15"/>
      <c r="N70" s="15"/>
      <c r="O70" s="15" t="s">
        <v>42</v>
      </c>
    </row>
    <row r="71" spans="1:15" ht="15.75" x14ac:dyDescent="0.25">
      <c r="A71" s="13" t="s">
        <v>22</v>
      </c>
      <c r="B71" s="1" t="s">
        <v>24</v>
      </c>
      <c r="C71" s="1">
        <f t="shared" si="3"/>
        <v>-10.053035803806043</v>
      </c>
      <c r="D71" s="15"/>
      <c r="E71" s="1">
        <f>(-9-C71)/3</f>
        <v>0.35101193460201446</v>
      </c>
      <c r="F71" s="40">
        <f>(C71+12)/3</f>
        <v>0.64898806539798548</v>
      </c>
      <c r="G71" s="15"/>
      <c r="H71" s="15"/>
      <c r="I71" s="15"/>
      <c r="J71" s="15"/>
      <c r="K71" s="15"/>
      <c r="L71" s="15"/>
      <c r="M71" s="15"/>
      <c r="N71" s="15"/>
      <c r="O71" s="15" t="s">
        <v>44</v>
      </c>
    </row>
    <row r="72" spans="1:15" ht="15.75" x14ac:dyDescent="0.25">
      <c r="A72" s="13"/>
      <c r="B72" s="1" t="s">
        <v>25</v>
      </c>
      <c r="C72" s="1">
        <f t="shared" si="3"/>
        <v>-11.667396906310753</v>
      </c>
      <c r="D72" s="15"/>
      <c r="E72" s="40">
        <f>(-9-C72)/3</f>
        <v>0.88913230210358429</v>
      </c>
      <c r="F72" s="1">
        <f>(C72+12)/3</f>
        <v>0.11086769789641575</v>
      </c>
      <c r="G72" s="15"/>
      <c r="H72" s="15"/>
      <c r="I72" s="15"/>
      <c r="J72" s="15"/>
      <c r="K72" s="15"/>
      <c r="L72" s="15"/>
      <c r="M72" s="15"/>
      <c r="N72" s="15"/>
      <c r="O72" s="15" t="s">
        <v>43</v>
      </c>
    </row>
    <row r="73" spans="1:15" ht="15.75" x14ac:dyDescent="0.25">
      <c r="A73" s="13"/>
      <c r="B73" s="1" t="s">
        <v>26</v>
      </c>
      <c r="C73" s="1">
        <f t="shared" si="3"/>
        <v>-3.7583994625957722</v>
      </c>
      <c r="D73" s="15"/>
      <c r="E73" s="15"/>
      <c r="F73" s="15"/>
      <c r="G73" s="15">
        <f>(-3-C73)/3</f>
        <v>0.25279982086525737</v>
      </c>
      <c r="H73" s="40">
        <f>(C73+6)/3</f>
        <v>0.74720017913474257</v>
      </c>
      <c r="I73" s="15"/>
      <c r="J73" s="15"/>
      <c r="K73" s="15"/>
      <c r="L73" s="15"/>
      <c r="M73" s="15"/>
      <c r="N73" s="15"/>
      <c r="O73" s="15" t="s">
        <v>47</v>
      </c>
    </row>
    <row r="74" spans="1:15" ht="15.75" x14ac:dyDescent="0.25">
      <c r="A74" s="13"/>
      <c r="B74" s="1" t="s">
        <v>35</v>
      </c>
      <c r="C74" s="1">
        <f t="shared" si="3"/>
        <v>-15.60298592672655</v>
      </c>
      <c r="D74" s="15">
        <v>1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 t="s">
        <v>42</v>
      </c>
    </row>
    <row r="75" spans="1:15" ht="15.75" x14ac:dyDescent="0.25">
      <c r="A75" s="13"/>
      <c r="B75" s="1" t="s">
        <v>36</v>
      </c>
      <c r="C75" s="1">
        <f t="shared" si="3"/>
        <v>-1.5371636490252283</v>
      </c>
      <c r="D75" s="15"/>
      <c r="E75" s="15"/>
      <c r="F75" s="15"/>
      <c r="G75" s="15"/>
      <c r="H75" s="40">
        <f>(-(C75))/3</f>
        <v>0.51238788300840943</v>
      </c>
      <c r="I75" s="1">
        <f>(C75+3)/3</f>
        <v>0.48761211699159057</v>
      </c>
      <c r="J75" s="15"/>
      <c r="K75" s="15"/>
      <c r="L75" s="15"/>
      <c r="M75" s="15"/>
      <c r="N75" s="15"/>
      <c r="O75" s="15" t="s">
        <v>47</v>
      </c>
    </row>
    <row r="76" spans="1:15" ht="15.75" x14ac:dyDescent="0.25">
      <c r="A76" s="2" t="s">
        <v>21</v>
      </c>
      <c r="B76" s="1" t="s">
        <v>28</v>
      </c>
      <c r="C76" s="1">
        <f t="shared" si="3"/>
        <v>-9.4613272688321093</v>
      </c>
      <c r="D76" s="15"/>
      <c r="E76" s="1">
        <f>(-9-C76)/3</f>
        <v>0.15377575627736975</v>
      </c>
      <c r="F76" s="40">
        <f>(C76+12)/3</f>
        <v>0.84622424372263028</v>
      </c>
      <c r="G76" s="15"/>
      <c r="H76" s="15"/>
      <c r="I76" s="15"/>
      <c r="J76" s="15"/>
      <c r="K76" s="15"/>
      <c r="L76" s="15"/>
      <c r="M76" s="15"/>
      <c r="N76" s="15"/>
      <c r="O76" s="15" t="s">
        <v>44</v>
      </c>
    </row>
    <row r="77" spans="1:15" ht="15.75" x14ac:dyDescent="0.25">
      <c r="A77" s="13" t="s">
        <v>27</v>
      </c>
      <c r="B77" s="1" t="s">
        <v>29</v>
      </c>
      <c r="C77" s="1">
        <f t="shared" si="3"/>
        <v>-6.7784571089971246</v>
      </c>
      <c r="D77" s="15"/>
      <c r="E77" s="15"/>
      <c r="F77" s="15">
        <f>(-6-C77)/3</f>
        <v>0.25948570299904156</v>
      </c>
      <c r="G77" s="52">
        <f>(C77+9)/3</f>
        <v>0.7405142970009585</v>
      </c>
      <c r="H77" s="15"/>
      <c r="I77" s="15"/>
      <c r="J77" s="15"/>
      <c r="K77" s="15"/>
      <c r="L77" s="15"/>
      <c r="M77" s="15"/>
      <c r="N77" s="15"/>
      <c r="O77" s="15" t="s">
        <v>46</v>
      </c>
    </row>
    <row r="78" spans="1:15" ht="15.75" x14ac:dyDescent="0.25">
      <c r="A78" s="7"/>
      <c r="B78" s="1" t="s">
        <v>58</v>
      </c>
      <c r="C78" s="1">
        <f t="shared" si="3"/>
        <v>-13.272881311933039</v>
      </c>
      <c r="D78" s="15">
        <f>(-12-C78)/3</f>
        <v>0.42429377064434642</v>
      </c>
      <c r="E78" s="52">
        <f>(C78+15)/3</f>
        <v>0.57570622935565352</v>
      </c>
      <c r="F78" s="15"/>
      <c r="G78" s="15"/>
      <c r="H78" s="15"/>
      <c r="I78" s="15"/>
      <c r="J78" s="15"/>
      <c r="K78" s="15"/>
      <c r="L78" s="15"/>
      <c r="M78" s="15"/>
      <c r="N78" s="15"/>
      <c r="O78" s="15" t="s">
        <v>43</v>
      </c>
    </row>
    <row r="79" spans="1:15" ht="15.75" x14ac:dyDescent="0.25">
      <c r="A79" s="2" t="s">
        <v>21</v>
      </c>
      <c r="B79" s="1" t="s">
        <v>30</v>
      </c>
      <c r="C79" s="1">
        <f t="shared" si="3"/>
        <v>-9.644728439746526</v>
      </c>
      <c r="D79" s="15"/>
      <c r="E79" s="1">
        <f>(-9-C79)/3</f>
        <v>0.21490947991550868</v>
      </c>
      <c r="F79" s="40">
        <f>(C79+12)/3</f>
        <v>0.78509052008449132</v>
      </c>
      <c r="G79" s="15"/>
      <c r="H79" s="15"/>
      <c r="I79" s="15"/>
      <c r="J79" s="15"/>
      <c r="K79" s="15"/>
      <c r="L79" s="15"/>
      <c r="M79" s="15"/>
      <c r="N79" s="15"/>
      <c r="O79" s="15" t="s">
        <v>44</v>
      </c>
    </row>
    <row r="80" spans="1:15" ht="15.75" x14ac:dyDescent="0.25">
      <c r="A80" s="2" t="s">
        <v>63</v>
      </c>
      <c r="B80" s="1" t="s">
        <v>64</v>
      </c>
      <c r="C80" s="1">
        <f t="shared" si="3"/>
        <v>-11.306996025795833</v>
      </c>
      <c r="D80" s="15"/>
      <c r="E80" s="40">
        <f>(-9-C80)/3</f>
        <v>0.76899867526527765</v>
      </c>
      <c r="F80" s="1">
        <f>(C80+12)/3</f>
        <v>0.23100132473472237</v>
      </c>
      <c r="G80" s="15"/>
      <c r="H80" s="15"/>
      <c r="I80" s="15"/>
      <c r="J80" s="15"/>
      <c r="K80" s="15"/>
      <c r="L80" s="15"/>
      <c r="M80" s="15"/>
      <c r="N80" s="15"/>
      <c r="O80" s="15" t="s">
        <v>43</v>
      </c>
    </row>
    <row r="81" spans="1:15" ht="15.75" x14ac:dyDescent="0.25">
      <c r="A81" s="13" t="s">
        <v>31</v>
      </c>
      <c r="B81" s="14" t="s">
        <v>65</v>
      </c>
      <c r="C81" s="1">
        <f t="shared" si="3"/>
        <v>-15.889039480123463</v>
      </c>
      <c r="D81" s="15">
        <v>1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 t="s">
        <v>42</v>
      </c>
    </row>
    <row r="82" spans="1:15" ht="15.75" x14ac:dyDescent="0.25">
      <c r="A82" s="7" t="s">
        <v>32</v>
      </c>
      <c r="B82" s="1"/>
      <c r="C82" s="1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4" spans="1:15" ht="15.75" x14ac:dyDescent="0.25">
      <c r="A84" s="17"/>
    </row>
    <row r="86" spans="1:15" ht="15.75" x14ac:dyDescent="0.25">
      <c r="A86" s="17"/>
    </row>
  </sheetData>
  <mergeCells count="4">
    <mergeCell ref="F3:G3"/>
    <mergeCell ref="D24:N24"/>
    <mergeCell ref="D45:N45"/>
    <mergeCell ref="D66:N66"/>
  </mergeCells>
  <pageMargins left="0.7" right="0.7" top="0.75" bottom="0.75" header="0.3" footer="0.3"/>
  <pageSetup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workbookViewId="0">
      <selection activeCell="K19" sqref="K19"/>
    </sheetView>
  </sheetViews>
  <sheetFormatPr defaultRowHeight="15" x14ac:dyDescent="0.25"/>
  <cols>
    <col min="1" max="1" width="12" customWidth="1"/>
    <col min="2" max="2" width="31.140625" customWidth="1"/>
    <col min="3" max="3" width="20.140625" customWidth="1"/>
    <col min="4" max="4" width="10.42578125" customWidth="1"/>
    <col min="5" max="5" width="10.28515625" customWidth="1"/>
    <col min="15" max="15" width="11.140625" customWidth="1"/>
  </cols>
  <sheetData>
    <row r="1" spans="1:10" x14ac:dyDescent="0.25">
      <c r="A1" s="19" t="s">
        <v>188</v>
      </c>
    </row>
    <row r="3" spans="1:10" ht="15.75" x14ac:dyDescent="0.25">
      <c r="A3" s="2" t="s">
        <v>0</v>
      </c>
      <c r="B3" s="2" t="s">
        <v>1</v>
      </c>
      <c r="C3" s="3" t="s">
        <v>9</v>
      </c>
      <c r="D3" s="15">
        <v>2023</v>
      </c>
      <c r="E3" s="15">
        <v>2024</v>
      </c>
      <c r="F3" s="60" t="s">
        <v>37</v>
      </c>
      <c r="G3" s="61"/>
      <c r="H3" s="16" t="s">
        <v>10</v>
      </c>
    </row>
    <row r="4" spans="1:10" ht="18.75" x14ac:dyDescent="0.25">
      <c r="A4" s="7"/>
      <c r="B4" s="7"/>
      <c r="C4" s="8" t="s">
        <v>2</v>
      </c>
      <c r="D4" s="15" t="s">
        <v>41</v>
      </c>
      <c r="E4" s="15" t="s">
        <v>41</v>
      </c>
      <c r="F4" s="15" t="s">
        <v>38</v>
      </c>
      <c r="G4" s="15" t="s">
        <v>39</v>
      </c>
      <c r="H4" s="15" t="s">
        <v>40</v>
      </c>
      <c r="J4" s="26"/>
    </row>
    <row r="5" spans="1:10" ht="15.75" x14ac:dyDescent="0.25">
      <c r="A5" s="2" t="s">
        <v>17</v>
      </c>
      <c r="B5" s="1" t="s">
        <v>19</v>
      </c>
      <c r="C5" s="1" t="s">
        <v>75</v>
      </c>
      <c r="D5" s="9">
        <v>-11.285594342161463</v>
      </c>
      <c r="E5" s="9">
        <v>-9.9619177392909855</v>
      </c>
      <c r="F5" s="9">
        <f t="shared" ref="F5:F18" si="0">D5</f>
        <v>-11.285594342161463</v>
      </c>
      <c r="G5" s="9">
        <f>E6</f>
        <v>-3.6051464333185743</v>
      </c>
      <c r="H5" s="9">
        <f t="shared" ref="H5:H18" si="1">E5</f>
        <v>-9.9619177392909855</v>
      </c>
      <c r="J5" t="s">
        <v>190</v>
      </c>
    </row>
    <row r="6" spans="1:10" ht="15.75" x14ac:dyDescent="0.25">
      <c r="A6" s="7" t="s">
        <v>18</v>
      </c>
      <c r="B6" s="1" t="s">
        <v>20</v>
      </c>
      <c r="C6" s="1" t="s">
        <v>80</v>
      </c>
      <c r="D6" s="9">
        <v>-9.2225478365592721</v>
      </c>
      <c r="E6" s="9">
        <v>-3.6051464333185743</v>
      </c>
      <c r="F6" s="9">
        <f t="shared" si="0"/>
        <v>-9.2225478365592721</v>
      </c>
      <c r="G6" s="9">
        <f>E5</f>
        <v>-9.9619177392909855</v>
      </c>
      <c r="H6" s="9">
        <f t="shared" si="1"/>
        <v>-3.6051464333185743</v>
      </c>
    </row>
    <row r="7" spans="1:10" ht="15.75" x14ac:dyDescent="0.25">
      <c r="A7" s="2" t="s">
        <v>21</v>
      </c>
      <c r="B7" s="1" t="s">
        <v>23</v>
      </c>
      <c r="C7" s="1" t="s">
        <v>81</v>
      </c>
      <c r="D7" s="9">
        <v>-13.704771216322449</v>
      </c>
      <c r="E7" s="9">
        <v>-8.5739194347608034</v>
      </c>
      <c r="F7" s="9">
        <f t="shared" si="0"/>
        <v>-13.704771216322449</v>
      </c>
      <c r="G7" s="9">
        <f>E12</f>
        <v>-6.4495908074259125</v>
      </c>
      <c r="H7" s="9">
        <f t="shared" si="1"/>
        <v>-8.5739194347608034</v>
      </c>
    </row>
    <row r="8" spans="1:10" ht="15.75" x14ac:dyDescent="0.25">
      <c r="A8" s="13" t="s">
        <v>22</v>
      </c>
      <c r="B8" s="1" t="s">
        <v>24</v>
      </c>
      <c r="C8" s="1" t="s">
        <v>83</v>
      </c>
      <c r="D8" s="9">
        <v>-10.053035803806043</v>
      </c>
      <c r="E8" s="9">
        <v>-3.7454597713523752</v>
      </c>
      <c r="F8" s="9">
        <f t="shared" si="0"/>
        <v>-10.053035803806043</v>
      </c>
      <c r="G8" s="9">
        <f>E7</f>
        <v>-8.5739194347608034</v>
      </c>
      <c r="H8" s="9">
        <f t="shared" si="1"/>
        <v>-3.7454597713523752</v>
      </c>
    </row>
    <row r="9" spans="1:10" ht="15.75" x14ac:dyDescent="0.25">
      <c r="A9" s="13"/>
      <c r="B9" s="1" t="s">
        <v>25</v>
      </c>
      <c r="C9" s="1" t="s">
        <v>84</v>
      </c>
      <c r="D9" s="9">
        <v>-11.667396906310753</v>
      </c>
      <c r="E9" s="9">
        <v>-4.421207984151831</v>
      </c>
      <c r="F9" s="9">
        <f t="shared" si="0"/>
        <v>-11.667396906310753</v>
      </c>
      <c r="G9" s="9">
        <f>E8</f>
        <v>-3.7454597713523752</v>
      </c>
      <c r="H9" s="9">
        <f t="shared" si="1"/>
        <v>-4.421207984151831</v>
      </c>
    </row>
    <row r="10" spans="1:10" ht="15.75" x14ac:dyDescent="0.25">
      <c r="A10" s="13"/>
      <c r="B10" s="1" t="s">
        <v>26</v>
      </c>
      <c r="C10" s="1" t="s">
        <v>85</v>
      </c>
      <c r="D10" s="9">
        <v>-3.7583994625957722</v>
      </c>
      <c r="E10" s="9">
        <v>-11.998988168729841</v>
      </c>
      <c r="F10" s="9">
        <f t="shared" si="0"/>
        <v>-3.7583994625957722</v>
      </c>
      <c r="G10" s="9">
        <f>E9</f>
        <v>-4.421207984151831</v>
      </c>
      <c r="H10" s="9">
        <f t="shared" si="1"/>
        <v>-11.998988168729841</v>
      </c>
    </row>
    <row r="11" spans="1:10" ht="15.75" x14ac:dyDescent="0.25">
      <c r="A11" s="13"/>
      <c r="B11" s="1" t="s">
        <v>35</v>
      </c>
      <c r="C11" s="1" t="s">
        <v>86</v>
      </c>
      <c r="D11" s="9">
        <v>-15.60298592672655</v>
      </c>
      <c r="E11" s="9">
        <v>-10.510290057799001</v>
      </c>
      <c r="F11" s="9">
        <f t="shared" si="0"/>
        <v>-15.60298592672655</v>
      </c>
      <c r="G11" s="9">
        <f>E10</f>
        <v>-11.998988168729841</v>
      </c>
      <c r="H11" s="9">
        <f t="shared" si="1"/>
        <v>-10.510290057799001</v>
      </c>
    </row>
    <row r="12" spans="1:10" ht="15.75" x14ac:dyDescent="0.25">
      <c r="A12" s="13"/>
      <c r="B12" s="1" t="s">
        <v>36</v>
      </c>
      <c r="C12" s="1" t="s">
        <v>87</v>
      </c>
      <c r="D12" s="9">
        <v>-1.5371636490252283</v>
      </c>
      <c r="E12" s="9">
        <v>-6.4495908074259125</v>
      </c>
      <c r="F12" s="9">
        <f t="shared" si="0"/>
        <v>-1.5371636490252283</v>
      </c>
      <c r="G12" s="9">
        <f>E11</f>
        <v>-10.510290057799001</v>
      </c>
      <c r="H12" s="9">
        <f t="shared" si="1"/>
        <v>-6.4495908074259125</v>
      </c>
    </row>
    <row r="13" spans="1:10" ht="15.75" x14ac:dyDescent="0.25">
      <c r="A13" s="2" t="s">
        <v>21</v>
      </c>
      <c r="B13" s="1" t="s">
        <v>28</v>
      </c>
      <c r="C13" s="1" t="s">
        <v>88</v>
      </c>
      <c r="D13" s="9">
        <v>-9.4613272688321093</v>
      </c>
      <c r="E13" s="9">
        <v>-8.8817713081363916</v>
      </c>
      <c r="F13" s="9">
        <f t="shared" si="0"/>
        <v>-9.4613272688321093</v>
      </c>
      <c r="G13" s="9">
        <f>E14</f>
        <v>-3.5312116743827406</v>
      </c>
      <c r="H13" s="9">
        <f t="shared" si="1"/>
        <v>-8.8817713081363916</v>
      </c>
    </row>
    <row r="14" spans="1:10" ht="15.75" x14ac:dyDescent="0.25">
      <c r="A14" s="13" t="s">
        <v>27</v>
      </c>
      <c r="B14" s="1" t="s">
        <v>29</v>
      </c>
      <c r="C14" s="1" t="s">
        <v>89</v>
      </c>
      <c r="D14" s="9">
        <v>-6.7784571089971246</v>
      </c>
      <c r="E14" s="9">
        <v>-3.5312116743827406</v>
      </c>
      <c r="F14" s="9">
        <f t="shared" si="0"/>
        <v>-6.7784571089971246</v>
      </c>
      <c r="G14" s="9">
        <f>E13</f>
        <v>-8.8817713081363916</v>
      </c>
      <c r="H14" s="9">
        <f t="shared" si="1"/>
        <v>-3.5312116743827406</v>
      </c>
    </row>
    <row r="15" spans="1:10" ht="15.75" x14ac:dyDescent="0.25">
      <c r="A15" s="7"/>
      <c r="B15" s="1" t="s">
        <v>58</v>
      </c>
      <c r="C15" s="1" t="s">
        <v>90</v>
      </c>
      <c r="D15" s="9">
        <v>-13.272881311933039</v>
      </c>
      <c r="E15" s="9">
        <v>-4.3427803166585974</v>
      </c>
      <c r="F15" s="9">
        <f t="shared" si="0"/>
        <v>-13.272881311933039</v>
      </c>
      <c r="G15" s="9">
        <f>E14</f>
        <v>-3.5312116743827406</v>
      </c>
      <c r="H15" s="9">
        <f t="shared" si="1"/>
        <v>-4.3427803166585974</v>
      </c>
    </row>
    <row r="16" spans="1:10" ht="15.75" x14ac:dyDescent="0.25">
      <c r="A16" s="2" t="s">
        <v>21</v>
      </c>
      <c r="B16" s="1" t="s">
        <v>30</v>
      </c>
      <c r="C16" s="1" t="s">
        <v>91</v>
      </c>
      <c r="D16" s="9">
        <v>-9.644728439746526</v>
      </c>
      <c r="E16" s="9">
        <v>-13.38383584760898</v>
      </c>
      <c r="F16" s="9">
        <f t="shared" si="0"/>
        <v>-9.644728439746526</v>
      </c>
      <c r="G16" s="9">
        <f>E17</f>
        <v>-2.1310256016779494</v>
      </c>
      <c r="H16" s="9">
        <f t="shared" si="1"/>
        <v>-13.38383584760898</v>
      </c>
    </row>
    <row r="17" spans="1:15" ht="15.75" x14ac:dyDescent="0.25">
      <c r="A17" s="2" t="s">
        <v>63</v>
      </c>
      <c r="B17" s="1" t="s">
        <v>64</v>
      </c>
      <c r="C17" s="1" t="s">
        <v>92</v>
      </c>
      <c r="D17" s="9">
        <v>-11.306996025795833</v>
      </c>
      <c r="E17" s="9">
        <v>-2.1310256016779494</v>
      </c>
      <c r="F17" s="9">
        <f t="shared" si="0"/>
        <v>-11.306996025795833</v>
      </c>
      <c r="G17" s="9">
        <f>E16</f>
        <v>-13.38383584760898</v>
      </c>
      <c r="H17" s="9">
        <f t="shared" si="1"/>
        <v>-2.1310256016779494</v>
      </c>
    </row>
    <row r="18" spans="1:15" ht="15.75" x14ac:dyDescent="0.25">
      <c r="A18" s="13" t="s">
        <v>31</v>
      </c>
      <c r="B18" s="14" t="s">
        <v>65</v>
      </c>
      <c r="C18" s="1" t="s">
        <v>93</v>
      </c>
      <c r="D18" s="9">
        <v>-15.889039480123463</v>
      </c>
      <c r="E18" s="9">
        <v>-4.0648816821434819</v>
      </c>
      <c r="F18" s="9">
        <f t="shared" si="0"/>
        <v>-15.889039480123463</v>
      </c>
      <c r="G18" s="9">
        <f>E17</f>
        <v>-2.1310256016779494</v>
      </c>
      <c r="H18" s="9">
        <f t="shared" si="1"/>
        <v>-4.0648816821434819</v>
      </c>
    </row>
    <row r="19" spans="1:15" ht="15.75" x14ac:dyDescent="0.25">
      <c r="A19" s="7" t="s">
        <v>32</v>
      </c>
      <c r="B19" s="1"/>
      <c r="C19" s="1"/>
      <c r="D19" s="9"/>
      <c r="E19" s="9"/>
      <c r="F19" s="9"/>
      <c r="G19" s="9"/>
      <c r="H19" s="9"/>
    </row>
    <row r="22" spans="1:15" ht="15.75" x14ac:dyDescent="0.25">
      <c r="A22" s="30" t="s">
        <v>189</v>
      </c>
    </row>
    <row r="24" spans="1:15" ht="15.75" x14ac:dyDescent="0.25">
      <c r="A24" s="2" t="s">
        <v>0</v>
      </c>
      <c r="B24" s="2" t="s">
        <v>1</v>
      </c>
      <c r="C24" s="3" t="s">
        <v>45</v>
      </c>
      <c r="D24" s="57" t="s">
        <v>54</v>
      </c>
      <c r="E24" s="58"/>
      <c r="F24" s="58"/>
      <c r="G24" s="58"/>
      <c r="H24" s="58"/>
      <c r="I24" s="58"/>
      <c r="J24" s="58"/>
      <c r="K24" s="58"/>
      <c r="L24" s="58"/>
      <c r="M24" s="58"/>
      <c r="N24" s="59"/>
      <c r="O24" s="3" t="s">
        <v>55</v>
      </c>
    </row>
    <row r="25" spans="1:15" ht="15.75" x14ac:dyDescent="0.25">
      <c r="A25" s="7"/>
      <c r="B25" s="7"/>
      <c r="C25" s="8" t="s">
        <v>38</v>
      </c>
      <c r="D25" s="9" t="s">
        <v>42</v>
      </c>
      <c r="E25" s="9" t="s">
        <v>43</v>
      </c>
      <c r="F25" s="9" t="s">
        <v>44</v>
      </c>
      <c r="G25" s="9" t="s">
        <v>46</v>
      </c>
      <c r="H25" s="9" t="s">
        <v>47</v>
      </c>
      <c r="I25" s="9" t="s">
        <v>48</v>
      </c>
      <c r="J25" s="9" t="s">
        <v>49</v>
      </c>
      <c r="K25" s="9" t="s">
        <v>50</v>
      </c>
      <c r="L25" s="9" t="s">
        <v>51</v>
      </c>
      <c r="M25" s="9" t="s">
        <v>52</v>
      </c>
      <c r="N25" s="9" t="s">
        <v>53</v>
      </c>
      <c r="O25" s="8" t="s">
        <v>38</v>
      </c>
    </row>
    <row r="26" spans="1:15" ht="15.75" x14ac:dyDescent="0.25">
      <c r="A26" s="2" t="s">
        <v>17</v>
      </c>
      <c r="B26" s="1" t="s">
        <v>19</v>
      </c>
      <c r="C26" s="1">
        <f>F5</f>
        <v>-11.285594342161463</v>
      </c>
      <c r="D26" s="15"/>
      <c r="E26" s="40">
        <f>(-9-C26)/3</f>
        <v>0.7618647807204878</v>
      </c>
      <c r="F26" s="1">
        <f>(C26+12)/3</f>
        <v>0.23813521927951223</v>
      </c>
      <c r="G26" s="15"/>
      <c r="H26" s="15"/>
      <c r="I26" s="15"/>
      <c r="J26" s="15"/>
      <c r="K26" s="15"/>
      <c r="L26" s="15"/>
      <c r="M26" s="15"/>
      <c r="N26" s="15"/>
      <c r="O26" s="15" t="s">
        <v>43</v>
      </c>
    </row>
    <row r="27" spans="1:15" ht="15.75" x14ac:dyDescent="0.25">
      <c r="A27" s="7" t="s">
        <v>18</v>
      </c>
      <c r="B27" s="1" t="s">
        <v>20</v>
      </c>
      <c r="C27" s="1">
        <f t="shared" ref="C27:C39" si="2">F6</f>
        <v>-9.2225478365592721</v>
      </c>
      <c r="D27" s="15"/>
      <c r="E27" s="1">
        <f>(-9-C27)/3</f>
        <v>7.4182612186424038E-2</v>
      </c>
      <c r="F27" s="40">
        <f>(C27+12)/3</f>
        <v>0.92581738781357592</v>
      </c>
      <c r="G27" s="15"/>
      <c r="H27" s="15"/>
      <c r="I27" s="15"/>
      <c r="J27" s="15"/>
      <c r="K27" s="15"/>
      <c r="L27" s="15"/>
      <c r="M27" s="15"/>
      <c r="N27" s="15"/>
      <c r="O27" s="15" t="s">
        <v>44</v>
      </c>
    </row>
    <row r="28" spans="1:15" ht="15.75" x14ac:dyDescent="0.25">
      <c r="A28" s="2" t="s">
        <v>21</v>
      </c>
      <c r="B28" s="1" t="s">
        <v>23</v>
      </c>
      <c r="C28" s="1">
        <f t="shared" si="2"/>
        <v>-13.704771216322449</v>
      </c>
      <c r="D28" s="52">
        <f>(-12-C28)/3</f>
        <v>0.568257072107483</v>
      </c>
      <c r="E28" s="15">
        <f>(C28+15)/3</f>
        <v>0.43174292789251706</v>
      </c>
      <c r="F28" s="15"/>
      <c r="G28" s="15"/>
      <c r="H28" s="15"/>
      <c r="I28" s="15"/>
      <c r="J28" s="15"/>
      <c r="K28" s="15"/>
      <c r="L28" s="15"/>
      <c r="M28" s="15"/>
      <c r="N28" s="15"/>
      <c r="O28" s="15" t="s">
        <v>42</v>
      </c>
    </row>
    <row r="29" spans="1:15" ht="15.75" x14ac:dyDescent="0.25">
      <c r="A29" s="13" t="s">
        <v>22</v>
      </c>
      <c r="B29" s="1" t="s">
        <v>24</v>
      </c>
      <c r="C29" s="1">
        <f t="shared" si="2"/>
        <v>-10.053035803806043</v>
      </c>
      <c r="D29" s="15"/>
      <c r="E29" s="1">
        <f>(-9-C29)/3</f>
        <v>0.35101193460201446</v>
      </c>
      <c r="F29" s="40">
        <f>(C29+12)/3</f>
        <v>0.64898806539798548</v>
      </c>
      <c r="G29" s="15"/>
      <c r="H29" s="15"/>
      <c r="I29" s="15"/>
      <c r="J29" s="15"/>
      <c r="K29" s="15"/>
      <c r="L29" s="15"/>
      <c r="M29" s="15"/>
      <c r="N29" s="15"/>
      <c r="O29" s="15" t="s">
        <v>44</v>
      </c>
    </row>
    <row r="30" spans="1:15" ht="15.75" x14ac:dyDescent="0.25">
      <c r="A30" s="13"/>
      <c r="B30" s="1" t="s">
        <v>25</v>
      </c>
      <c r="C30" s="1">
        <f t="shared" si="2"/>
        <v>-11.667396906310753</v>
      </c>
      <c r="D30" s="15"/>
      <c r="E30" s="40">
        <f>(-9-C30)/3</f>
        <v>0.88913230210358429</v>
      </c>
      <c r="F30" s="1">
        <f>(C30+12)/3</f>
        <v>0.11086769789641575</v>
      </c>
      <c r="G30" s="15"/>
      <c r="H30" s="15"/>
      <c r="I30" s="15"/>
      <c r="J30" s="15"/>
      <c r="K30" s="15"/>
      <c r="L30" s="15"/>
      <c r="M30" s="15"/>
      <c r="N30" s="15"/>
      <c r="O30" s="15" t="s">
        <v>43</v>
      </c>
    </row>
    <row r="31" spans="1:15" ht="15.75" x14ac:dyDescent="0.25">
      <c r="A31" s="13"/>
      <c r="B31" s="1" t="s">
        <v>26</v>
      </c>
      <c r="C31" s="1">
        <f t="shared" si="2"/>
        <v>-3.7583994625957722</v>
      </c>
      <c r="D31" s="15"/>
      <c r="E31" s="15"/>
      <c r="F31" s="15"/>
      <c r="G31" s="15">
        <f>(-3-C31)/3</f>
        <v>0.25279982086525737</v>
      </c>
      <c r="H31" s="40">
        <f>(C31+6)/3</f>
        <v>0.74720017913474257</v>
      </c>
      <c r="I31" s="15"/>
      <c r="J31" s="15"/>
      <c r="K31" s="15"/>
      <c r="L31" s="15"/>
      <c r="M31" s="15"/>
      <c r="N31" s="15"/>
      <c r="O31" s="15" t="s">
        <v>47</v>
      </c>
    </row>
    <row r="32" spans="1:15" ht="15.75" x14ac:dyDescent="0.25">
      <c r="A32" s="13"/>
      <c r="B32" s="1" t="s">
        <v>35</v>
      </c>
      <c r="C32" s="1">
        <f t="shared" si="2"/>
        <v>-15.60298592672655</v>
      </c>
      <c r="D32" s="15">
        <v>1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 t="s">
        <v>42</v>
      </c>
    </row>
    <row r="33" spans="1:15" ht="15.75" x14ac:dyDescent="0.25">
      <c r="A33" s="13"/>
      <c r="B33" s="1" t="s">
        <v>36</v>
      </c>
      <c r="C33" s="1">
        <f t="shared" si="2"/>
        <v>-1.5371636490252283</v>
      </c>
      <c r="D33" s="15"/>
      <c r="E33" s="15"/>
      <c r="F33" s="15"/>
      <c r="G33" s="15"/>
      <c r="H33" s="40">
        <f>(-(C33))/3</f>
        <v>0.51238788300840943</v>
      </c>
      <c r="I33" s="1">
        <f>(C33+3)/3</f>
        <v>0.48761211699159057</v>
      </c>
      <c r="J33" s="15"/>
      <c r="K33" s="15"/>
      <c r="L33" s="15"/>
      <c r="M33" s="15"/>
      <c r="N33" s="15"/>
      <c r="O33" s="15" t="s">
        <v>47</v>
      </c>
    </row>
    <row r="34" spans="1:15" ht="15.75" x14ac:dyDescent="0.25">
      <c r="A34" s="2" t="s">
        <v>21</v>
      </c>
      <c r="B34" s="1" t="s">
        <v>28</v>
      </c>
      <c r="C34" s="1">
        <f t="shared" si="2"/>
        <v>-9.4613272688321093</v>
      </c>
      <c r="D34" s="15"/>
      <c r="E34" s="1">
        <f>(-9-C34)/3</f>
        <v>0.15377575627736975</v>
      </c>
      <c r="F34" s="40">
        <f>(C34+12)/3</f>
        <v>0.84622424372263028</v>
      </c>
      <c r="G34" s="15"/>
      <c r="H34" s="15"/>
      <c r="I34" s="15"/>
      <c r="J34" s="15"/>
      <c r="K34" s="15"/>
      <c r="L34" s="15"/>
      <c r="M34" s="15"/>
      <c r="N34" s="15"/>
      <c r="O34" s="15" t="s">
        <v>44</v>
      </c>
    </row>
    <row r="35" spans="1:15" ht="15.75" x14ac:dyDescent="0.25">
      <c r="A35" s="13" t="s">
        <v>27</v>
      </c>
      <c r="B35" s="1" t="s">
        <v>29</v>
      </c>
      <c r="C35" s="1">
        <f t="shared" si="2"/>
        <v>-6.7784571089971246</v>
      </c>
      <c r="D35" s="15"/>
      <c r="E35" s="15"/>
      <c r="F35" s="15">
        <f>(-6-C35)/3</f>
        <v>0.25948570299904156</v>
      </c>
      <c r="G35" s="52">
        <f>(C35+9)/3</f>
        <v>0.7405142970009585</v>
      </c>
      <c r="H35" s="15"/>
      <c r="I35" s="15"/>
      <c r="J35" s="15"/>
      <c r="K35" s="15"/>
      <c r="L35" s="15"/>
      <c r="M35" s="15"/>
      <c r="N35" s="15"/>
      <c r="O35" s="15" t="s">
        <v>46</v>
      </c>
    </row>
    <row r="36" spans="1:15" ht="15.75" x14ac:dyDescent="0.25">
      <c r="A36" s="13"/>
      <c r="B36" s="1" t="s">
        <v>58</v>
      </c>
      <c r="C36" s="1">
        <f t="shared" si="2"/>
        <v>-13.272881311933039</v>
      </c>
      <c r="D36" s="15">
        <f>(-12-C36)/3</f>
        <v>0.42429377064434642</v>
      </c>
      <c r="E36" s="52">
        <f>(C36+15)/3</f>
        <v>0.57570622935565352</v>
      </c>
      <c r="F36" s="15"/>
      <c r="G36" s="15"/>
      <c r="H36" s="15"/>
      <c r="I36" s="15"/>
      <c r="J36" s="15"/>
      <c r="K36" s="15"/>
      <c r="L36" s="15"/>
      <c r="M36" s="15"/>
      <c r="N36" s="15"/>
      <c r="O36" s="15" t="s">
        <v>43</v>
      </c>
    </row>
    <row r="37" spans="1:15" ht="15.75" x14ac:dyDescent="0.25">
      <c r="A37" s="2" t="s">
        <v>21</v>
      </c>
      <c r="B37" s="22" t="s">
        <v>30</v>
      </c>
      <c r="C37" s="1">
        <f t="shared" si="2"/>
        <v>-9.644728439746526</v>
      </c>
      <c r="D37" s="15"/>
      <c r="E37" s="1">
        <f>(-9-C37)/3</f>
        <v>0.21490947991550868</v>
      </c>
      <c r="F37" s="40">
        <f>(C37+12)/3</f>
        <v>0.78509052008449132</v>
      </c>
      <c r="G37" s="15"/>
      <c r="H37" s="15"/>
      <c r="I37" s="15"/>
      <c r="J37" s="15"/>
      <c r="K37" s="15"/>
      <c r="L37" s="15"/>
      <c r="M37" s="15"/>
      <c r="N37" s="15"/>
      <c r="O37" s="15" t="s">
        <v>44</v>
      </c>
    </row>
    <row r="38" spans="1:15" ht="15.75" x14ac:dyDescent="0.25">
      <c r="A38" s="13" t="s">
        <v>63</v>
      </c>
      <c r="B38" s="22" t="s">
        <v>33</v>
      </c>
      <c r="C38" s="1">
        <f t="shared" si="2"/>
        <v>-11.306996025795833</v>
      </c>
      <c r="D38" s="15"/>
      <c r="E38" s="40">
        <f>(-9-C38)/3</f>
        <v>0.76899867526527765</v>
      </c>
      <c r="F38" s="1">
        <f>(C38+12)/3</f>
        <v>0.23100132473472237</v>
      </c>
      <c r="G38" s="15"/>
      <c r="H38" s="15"/>
      <c r="I38" s="15"/>
      <c r="J38" s="15"/>
      <c r="K38" s="15"/>
      <c r="L38" s="15"/>
      <c r="M38" s="15"/>
      <c r="N38" s="15"/>
      <c r="O38" s="15" t="s">
        <v>43</v>
      </c>
    </row>
    <row r="39" spans="1:15" ht="15.75" x14ac:dyDescent="0.25">
      <c r="A39" s="13" t="s">
        <v>31</v>
      </c>
      <c r="B39" s="23" t="s">
        <v>34</v>
      </c>
      <c r="C39" s="1">
        <f t="shared" si="2"/>
        <v>-15.889039480123463</v>
      </c>
      <c r="D39" s="15">
        <v>1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 t="s">
        <v>42</v>
      </c>
    </row>
    <row r="40" spans="1:15" ht="15.75" x14ac:dyDescent="0.25">
      <c r="A40" s="7" t="s">
        <v>32</v>
      </c>
      <c r="B40" s="2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5"/>
    </row>
    <row r="41" spans="1:15" ht="15.75" x14ac:dyDescent="0.25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ht="15.75" x14ac:dyDescent="0.25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15.75" x14ac:dyDescent="0.25">
      <c r="A43" s="30" t="s">
        <v>191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.75" x14ac:dyDescent="0.25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5.75" x14ac:dyDescent="0.25">
      <c r="A45" s="2" t="s">
        <v>0</v>
      </c>
      <c r="B45" s="2" t="s">
        <v>1</v>
      </c>
      <c r="C45" s="3" t="s">
        <v>45</v>
      </c>
      <c r="D45" s="57" t="s">
        <v>54</v>
      </c>
      <c r="E45" s="58"/>
      <c r="F45" s="58"/>
      <c r="G45" s="58"/>
      <c r="H45" s="58"/>
      <c r="I45" s="58"/>
      <c r="J45" s="58"/>
      <c r="K45" s="58"/>
      <c r="L45" s="58"/>
      <c r="M45" s="58"/>
      <c r="N45" s="59"/>
      <c r="O45" s="3" t="s">
        <v>55</v>
      </c>
    </row>
    <row r="46" spans="1:15" ht="15.75" x14ac:dyDescent="0.25">
      <c r="A46" s="7"/>
      <c r="B46" s="7"/>
      <c r="C46" s="8" t="s">
        <v>39</v>
      </c>
      <c r="D46" s="9" t="s">
        <v>42</v>
      </c>
      <c r="E46" s="9" t="s">
        <v>43</v>
      </c>
      <c r="F46" s="9" t="s">
        <v>44</v>
      </c>
      <c r="G46" s="9" t="s">
        <v>46</v>
      </c>
      <c r="H46" s="9" t="s">
        <v>47</v>
      </c>
      <c r="I46" s="9" t="s">
        <v>48</v>
      </c>
      <c r="J46" s="9" t="s">
        <v>49</v>
      </c>
      <c r="K46" s="9" t="s">
        <v>50</v>
      </c>
      <c r="L46" s="9" t="s">
        <v>51</v>
      </c>
      <c r="M46" s="9" t="s">
        <v>52</v>
      </c>
      <c r="N46" s="9" t="s">
        <v>53</v>
      </c>
      <c r="O46" s="8" t="s">
        <v>39</v>
      </c>
    </row>
    <row r="47" spans="1:15" ht="15.75" x14ac:dyDescent="0.25">
      <c r="A47" s="2" t="s">
        <v>17</v>
      </c>
      <c r="B47" s="1" t="s">
        <v>19</v>
      </c>
      <c r="C47" s="1">
        <f>G5</f>
        <v>-3.6051464333185743</v>
      </c>
      <c r="D47" s="15"/>
      <c r="E47" s="1"/>
      <c r="F47" s="1"/>
      <c r="G47" s="15">
        <f>(-3-C47)/3</f>
        <v>0.20171547777285811</v>
      </c>
      <c r="H47" s="40">
        <f>(C47+6)/3</f>
        <v>0.79828452222714186</v>
      </c>
      <c r="I47" s="15"/>
      <c r="J47" s="15"/>
      <c r="K47" s="15"/>
      <c r="L47" s="15"/>
      <c r="M47" s="15"/>
      <c r="N47" s="15"/>
      <c r="O47" s="15" t="s">
        <v>47</v>
      </c>
    </row>
    <row r="48" spans="1:15" ht="15.75" x14ac:dyDescent="0.25">
      <c r="A48" s="7" t="s">
        <v>18</v>
      </c>
      <c r="B48" s="1" t="s">
        <v>20</v>
      </c>
      <c r="C48" s="1">
        <f t="shared" ref="C48:C60" si="3">G6</f>
        <v>-9.9619177392909855</v>
      </c>
      <c r="D48" s="15"/>
      <c r="E48" s="1">
        <f>(-9-C48)/3</f>
        <v>0.32063924643032848</v>
      </c>
      <c r="F48" s="40">
        <f>(C48+12)/3</f>
        <v>0.67936075356967152</v>
      </c>
      <c r="G48" s="1"/>
      <c r="H48" s="15"/>
      <c r="I48" s="15"/>
      <c r="J48" s="15"/>
      <c r="K48" s="15"/>
      <c r="L48" s="15"/>
      <c r="M48" s="15"/>
      <c r="N48" s="15"/>
      <c r="O48" s="15" t="s">
        <v>44</v>
      </c>
    </row>
    <row r="49" spans="1:15" ht="15.75" x14ac:dyDescent="0.25">
      <c r="A49" s="2" t="s">
        <v>21</v>
      </c>
      <c r="B49" s="1" t="s">
        <v>23</v>
      </c>
      <c r="C49" s="1">
        <f t="shared" si="3"/>
        <v>-6.4495908074259125</v>
      </c>
      <c r="D49" s="15"/>
      <c r="E49" s="15"/>
      <c r="F49" s="15">
        <f>(-6-C49)/3</f>
        <v>0.14986360247530417</v>
      </c>
      <c r="G49" s="52">
        <f>(C49+9)/3</f>
        <v>0.85013639752469583</v>
      </c>
      <c r="H49" s="1"/>
      <c r="I49" s="1"/>
      <c r="J49" s="15"/>
      <c r="K49" s="15"/>
      <c r="L49" s="15"/>
      <c r="M49" s="15"/>
      <c r="N49" s="15"/>
      <c r="O49" s="15" t="s">
        <v>46</v>
      </c>
    </row>
    <row r="50" spans="1:15" ht="15.75" x14ac:dyDescent="0.25">
      <c r="A50" s="13" t="s">
        <v>22</v>
      </c>
      <c r="B50" s="1" t="s">
        <v>24</v>
      </c>
      <c r="C50" s="1">
        <f t="shared" si="3"/>
        <v>-8.5739194347608034</v>
      </c>
      <c r="D50" s="15"/>
      <c r="E50" s="1"/>
      <c r="F50" s="40">
        <f>(-6-C50)/3</f>
        <v>0.85797314492026777</v>
      </c>
      <c r="G50" s="1">
        <f>(C50+9)/3</f>
        <v>0.1420268550797322</v>
      </c>
      <c r="H50" s="15"/>
      <c r="I50" s="15"/>
      <c r="J50" s="15"/>
      <c r="K50" s="15"/>
      <c r="L50" s="15"/>
      <c r="M50" s="15"/>
      <c r="N50" s="15"/>
      <c r="O50" s="15" t="s">
        <v>44</v>
      </c>
    </row>
    <row r="51" spans="1:15" ht="15.75" x14ac:dyDescent="0.25">
      <c r="A51" s="13"/>
      <c r="B51" s="1" t="s">
        <v>25</v>
      </c>
      <c r="C51" s="1">
        <f t="shared" si="3"/>
        <v>-3.7454597713523752</v>
      </c>
      <c r="D51" s="15"/>
      <c r="E51" s="1"/>
      <c r="F51" s="1"/>
      <c r="G51" s="15">
        <f>(-3-C51)/3</f>
        <v>0.24848659045079172</v>
      </c>
      <c r="H51" s="40">
        <f>(C51+6)/3</f>
        <v>0.75151340954920831</v>
      </c>
      <c r="I51" s="15"/>
      <c r="J51" s="15"/>
      <c r="K51" s="15"/>
      <c r="L51" s="15"/>
      <c r="M51" s="15"/>
      <c r="N51" s="15"/>
      <c r="O51" s="15" t="s">
        <v>47</v>
      </c>
    </row>
    <row r="52" spans="1:15" ht="15.75" x14ac:dyDescent="0.25">
      <c r="A52" s="13"/>
      <c r="B52" s="1" t="s">
        <v>26</v>
      </c>
      <c r="C52" s="1">
        <f t="shared" si="3"/>
        <v>-4.421207984151831</v>
      </c>
      <c r="D52" s="15"/>
      <c r="E52" s="1"/>
      <c r="F52" s="1"/>
      <c r="G52" s="15">
        <f>(-3-C52)/3</f>
        <v>0.47373599471727701</v>
      </c>
      <c r="H52" s="40">
        <f>(C52+6)/3</f>
        <v>0.52626400528272299</v>
      </c>
      <c r="I52" s="15"/>
      <c r="J52" s="15"/>
      <c r="K52" s="15"/>
      <c r="L52" s="15"/>
      <c r="M52" s="15"/>
      <c r="N52" s="15"/>
      <c r="O52" s="15" t="s">
        <v>47</v>
      </c>
    </row>
    <row r="53" spans="1:15" ht="15.75" x14ac:dyDescent="0.25">
      <c r="A53" s="13"/>
      <c r="B53" s="1" t="s">
        <v>35</v>
      </c>
      <c r="C53" s="1">
        <f t="shared" si="3"/>
        <v>-11.998988168729841</v>
      </c>
      <c r="D53" s="15"/>
      <c r="E53" s="40">
        <f>(-9-C53)/3</f>
        <v>0.99966272290994718</v>
      </c>
      <c r="F53" s="1">
        <f>(C53+12)/3</f>
        <v>3.3727709005286027E-4</v>
      </c>
      <c r="G53" s="15"/>
      <c r="H53" s="1"/>
      <c r="I53" s="1"/>
      <c r="J53" s="15"/>
      <c r="K53" s="15"/>
      <c r="L53" s="15"/>
      <c r="M53" s="15"/>
      <c r="N53" s="15"/>
      <c r="O53" s="15" t="s">
        <v>43</v>
      </c>
    </row>
    <row r="54" spans="1:15" ht="15.75" x14ac:dyDescent="0.25">
      <c r="A54" s="13"/>
      <c r="B54" s="1" t="s">
        <v>36</v>
      </c>
      <c r="C54" s="1">
        <f t="shared" si="3"/>
        <v>-10.510290057799001</v>
      </c>
      <c r="D54" s="15"/>
      <c r="E54" s="40">
        <f>(-9-C54)/3</f>
        <v>0.50343001926633357</v>
      </c>
      <c r="F54" s="1">
        <f>(C54+12)/3</f>
        <v>0.49656998073366648</v>
      </c>
      <c r="G54" s="15"/>
      <c r="H54" s="15"/>
      <c r="I54" s="15"/>
      <c r="J54" s="15"/>
      <c r="K54" s="15"/>
      <c r="L54" s="15"/>
      <c r="M54" s="15"/>
      <c r="N54" s="15"/>
      <c r="O54" s="15" t="s">
        <v>43</v>
      </c>
    </row>
    <row r="55" spans="1:15" ht="15.75" x14ac:dyDescent="0.25">
      <c r="A55" s="2" t="s">
        <v>21</v>
      </c>
      <c r="B55" s="1" t="s">
        <v>28</v>
      </c>
      <c r="C55" s="1">
        <f t="shared" si="3"/>
        <v>-3.5312116743827406</v>
      </c>
      <c r="D55" s="15"/>
      <c r="E55" s="15"/>
      <c r="F55" s="15"/>
      <c r="G55" s="15">
        <f>(-3-C55)/3</f>
        <v>0.17707055812758021</v>
      </c>
      <c r="H55" s="40">
        <f>(C55+6)/3</f>
        <v>0.82292944187241979</v>
      </c>
      <c r="I55" s="15"/>
      <c r="J55" s="15"/>
      <c r="K55" s="15"/>
      <c r="L55" s="15"/>
      <c r="M55" s="15"/>
      <c r="N55" s="15"/>
      <c r="O55" s="15" t="s">
        <v>47</v>
      </c>
    </row>
    <row r="56" spans="1:15" ht="15.75" x14ac:dyDescent="0.25">
      <c r="A56" s="13" t="s">
        <v>27</v>
      </c>
      <c r="B56" s="1" t="s">
        <v>29</v>
      </c>
      <c r="C56" s="1">
        <f t="shared" si="3"/>
        <v>-8.8817713081363916</v>
      </c>
      <c r="D56" s="15"/>
      <c r="E56" s="1"/>
      <c r="F56" s="40">
        <f>(-6-C56)/3</f>
        <v>0.9605904360454639</v>
      </c>
      <c r="G56" s="1">
        <f>(C56+9)/3</f>
        <v>3.9409563954536132E-2</v>
      </c>
      <c r="H56" s="15"/>
      <c r="I56" s="15"/>
      <c r="J56" s="15"/>
      <c r="K56" s="15"/>
      <c r="L56" s="15"/>
      <c r="M56" s="15"/>
      <c r="N56" s="15"/>
      <c r="O56" s="15" t="s">
        <v>44</v>
      </c>
    </row>
    <row r="57" spans="1:15" ht="15.75" x14ac:dyDescent="0.25">
      <c r="A57" s="13"/>
      <c r="B57" s="1" t="s">
        <v>58</v>
      </c>
      <c r="C57" s="1">
        <f t="shared" si="3"/>
        <v>-3.5312116743827406</v>
      </c>
      <c r="D57" s="15"/>
      <c r="E57" s="15"/>
      <c r="F57" s="15"/>
      <c r="G57" s="15">
        <f>(-3-C57)/3</f>
        <v>0.17707055812758021</v>
      </c>
      <c r="H57" s="40">
        <f>(C57+6)/3</f>
        <v>0.82292944187241979</v>
      </c>
      <c r="I57" s="15"/>
      <c r="J57" s="15"/>
      <c r="K57" s="15"/>
      <c r="L57" s="15"/>
      <c r="M57" s="15"/>
      <c r="N57" s="15"/>
      <c r="O57" s="15" t="s">
        <v>47</v>
      </c>
    </row>
    <row r="58" spans="1:15" ht="15.75" x14ac:dyDescent="0.25">
      <c r="A58" s="2" t="s">
        <v>21</v>
      </c>
      <c r="B58" s="22" t="s">
        <v>30</v>
      </c>
      <c r="C58" s="1">
        <f t="shared" si="3"/>
        <v>-2.1310256016779494</v>
      </c>
      <c r="D58" s="15"/>
      <c r="E58" s="1"/>
      <c r="F58" s="1"/>
      <c r="G58" s="1"/>
      <c r="H58" s="52">
        <f>(-C58)/3</f>
        <v>0.71034186722598314</v>
      </c>
      <c r="I58" s="15">
        <f>(C58+3)/3</f>
        <v>0.28965813277401686</v>
      </c>
      <c r="J58" s="15"/>
      <c r="K58" s="15"/>
      <c r="L58" s="15"/>
      <c r="M58" s="15"/>
      <c r="N58" s="15"/>
      <c r="O58" s="15" t="s">
        <v>47</v>
      </c>
    </row>
    <row r="59" spans="1:15" ht="15.75" x14ac:dyDescent="0.25">
      <c r="A59" s="13" t="s">
        <v>63</v>
      </c>
      <c r="B59" s="22" t="s">
        <v>64</v>
      </c>
      <c r="C59" s="1">
        <f t="shared" si="3"/>
        <v>-13.38383584760898</v>
      </c>
      <c r="D59" s="15">
        <f>(-12-C59)/3</f>
        <v>0.46127861586965996</v>
      </c>
      <c r="E59" s="52">
        <f>(C59+15)/3</f>
        <v>0.5387213841303401</v>
      </c>
      <c r="F59" s="1"/>
      <c r="G59" s="1"/>
      <c r="H59" s="15"/>
      <c r="I59" s="15"/>
      <c r="J59" s="15"/>
      <c r="K59" s="15"/>
      <c r="L59" s="15"/>
      <c r="M59" s="15"/>
      <c r="N59" s="15"/>
      <c r="O59" s="15" t="s">
        <v>43</v>
      </c>
    </row>
    <row r="60" spans="1:15" ht="15.75" x14ac:dyDescent="0.25">
      <c r="A60" s="13" t="s">
        <v>31</v>
      </c>
      <c r="B60" s="23" t="s">
        <v>65</v>
      </c>
      <c r="C60" s="1">
        <f t="shared" si="3"/>
        <v>-2.1310256016779494</v>
      </c>
      <c r="D60" s="15"/>
      <c r="E60" s="1"/>
      <c r="F60" s="1"/>
      <c r="G60" s="1"/>
      <c r="H60" s="52">
        <f>(-C60)/3</f>
        <v>0.71034186722598314</v>
      </c>
      <c r="I60" s="15">
        <f>(C60+3)/3</f>
        <v>0.28965813277401686</v>
      </c>
      <c r="J60" s="15"/>
      <c r="K60" s="15"/>
      <c r="L60" s="15"/>
      <c r="M60" s="15"/>
      <c r="N60" s="15"/>
      <c r="O60" s="15" t="s">
        <v>47</v>
      </c>
    </row>
    <row r="61" spans="1:15" ht="15.75" x14ac:dyDescent="0.25">
      <c r="A61" s="7" t="s">
        <v>32</v>
      </c>
      <c r="B61" s="22"/>
      <c r="C61" s="1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5.75" x14ac:dyDescent="0.25"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1:15" ht="15.75" x14ac:dyDescent="0.25"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ht="15.75" x14ac:dyDescent="0.25">
      <c r="A64" s="30" t="s">
        <v>192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1:15" ht="15.75" x14ac:dyDescent="0.25"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ht="15.75" x14ac:dyDescent="0.25">
      <c r="A66" s="2" t="s">
        <v>0</v>
      </c>
      <c r="B66" s="2" t="s">
        <v>1</v>
      </c>
      <c r="C66" s="3" t="s">
        <v>45</v>
      </c>
      <c r="D66" s="57" t="s">
        <v>54</v>
      </c>
      <c r="E66" s="58"/>
      <c r="F66" s="58"/>
      <c r="G66" s="58"/>
      <c r="H66" s="58"/>
      <c r="I66" s="58"/>
      <c r="J66" s="58"/>
      <c r="K66" s="58"/>
      <c r="L66" s="58"/>
      <c r="M66" s="58"/>
      <c r="N66" s="59"/>
      <c r="O66" s="3" t="s">
        <v>55</v>
      </c>
    </row>
    <row r="67" spans="1:15" ht="15.75" x14ac:dyDescent="0.25">
      <c r="A67" s="7"/>
      <c r="B67" s="7"/>
      <c r="C67" s="8" t="s">
        <v>40</v>
      </c>
      <c r="D67" s="9" t="s">
        <v>42</v>
      </c>
      <c r="E67" s="9" t="s">
        <v>43</v>
      </c>
      <c r="F67" s="9" t="s">
        <v>44</v>
      </c>
      <c r="G67" s="9" t="s">
        <v>46</v>
      </c>
      <c r="H67" s="9" t="s">
        <v>47</v>
      </c>
      <c r="I67" s="9" t="s">
        <v>48</v>
      </c>
      <c r="J67" s="9" t="s">
        <v>49</v>
      </c>
      <c r="K67" s="9" t="s">
        <v>50</v>
      </c>
      <c r="L67" s="9" t="s">
        <v>51</v>
      </c>
      <c r="M67" s="9" t="s">
        <v>52</v>
      </c>
      <c r="N67" s="9" t="s">
        <v>53</v>
      </c>
      <c r="O67" s="8" t="s">
        <v>40</v>
      </c>
    </row>
    <row r="68" spans="1:15" ht="15.75" x14ac:dyDescent="0.25">
      <c r="A68" s="2" t="s">
        <v>17</v>
      </c>
      <c r="B68" s="1" t="s">
        <v>19</v>
      </c>
      <c r="C68" s="1">
        <f>H5</f>
        <v>-9.9619177392909855</v>
      </c>
      <c r="D68" s="15"/>
      <c r="E68" s="1">
        <f>(-9-C68)/3</f>
        <v>0.32063924643032848</v>
      </c>
      <c r="F68" s="40">
        <f>(C68+12)/3</f>
        <v>0.67936075356967152</v>
      </c>
      <c r="G68" s="1"/>
      <c r="H68" s="15"/>
      <c r="I68" s="15"/>
      <c r="J68" s="15"/>
      <c r="K68" s="15"/>
      <c r="L68" s="15"/>
      <c r="M68" s="15"/>
      <c r="N68" s="15"/>
      <c r="O68" s="15" t="s">
        <v>44</v>
      </c>
    </row>
    <row r="69" spans="1:15" ht="15.75" x14ac:dyDescent="0.25">
      <c r="A69" s="7" t="s">
        <v>18</v>
      </c>
      <c r="B69" s="1" t="s">
        <v>20</v>
      </c>
      <c r="C69" s="1">
        <f t="shared" ref="C69:C81" si="4">H6</f>
        <v>-3.6051464333185743</v>
      </c>
      <c r="D69" s="15"/>
      <c r="E69" s="1"/>
      <c r="F69" s="1"/>
      <c r="G69" s="15">
        <f>(-3-C69)/3</f>
        <v>0.20171547777285811</v>
      </c>
      <c r="H69" s="40">
        <f>(C69+6)/3</f>
        <v>0.79828452222714186</v>
      </c>
      <c r="I69" s="15"/>
      <c r="J69" s="15"/>
      <c r="K69" s="15"/>
      <c r="L69" s="15"/>
      <c r="M69" s="15"/>
      <c r="N69" s="15"/>
      <c r="O69" s="15" t="s">
        <v>47</v>
      </c>
    </row>
    <row r="70" spans="1:15" ht="15.75" x14ac:dyDescent="0.25">
      <c r="A70" s="2" t="s">
        <v>21</v>
      </c>
      <c r="B70" s="1" t="s">
        <v>23</v>
      </c>
      <c r="C70" s="1">
        <f t="shared" si="4"/>
        <v>-8.5739194347608034</v>
      </c>
      <c r="D70" s="15"/>
      <c r="E70" s="1"/>
      <c r="F70" s="40">
        <f>(-6-C70)/3</f>
        <v>0.85797314492026777</v>
      </c>
      <c r="G70" s="1">
        <f>(C70+9)/3</f>
        <v>0.1420268550797322</v>
      </c>
      <c r="H70" s="15"/>
      <c r="I70" s="15"/>
      <c r="J70" s="15"/>
      <c r="K70" s="15"/>
      <c r="L70" s="15"/>
      <c r="M70" s="15"/>
      <c r="N70" s="15"/>
      <c r="O70" s="15" t="s">
        <v>44</v>
      </c>
    </row>
    <row r="71" spans="1:15" ht="15.75" x14ac:dyDescent="0.25">
      <c r="A71" s="13" t="s">
        <v>22</v>
      </c>
      <c r="B71" s="1" t="s">
        <v>24</v>
      </c>
      <c r="C71" s="1">
        <f t="shared" si="4"/>
        <v>-3.7454597713523752</v>
      </c>
      <c r="D71" s="15"/>
      <c r="E71" s="1"/>
      <c r="F71" s="1"/>
      <c r="G71" s="15">
        <f>(-3-C71)/3</f>
        <v>0.24848659045079172</v>
      </c>
      <c r="H71" s="40">
        <f>(C71+6)/3</f>
        <v>0.75151340954920831</v>
      </c>
      <c r="I71" s="15"/>
      <c r="J71" s="15"/>
      <c r="K71" s="15"/>
      <c r="L71" s="15"/>
      <c r="M71" s="15"/>
      <c r="N71" s="15"/>
      <c r="O71" s="15" t="s">
        <v>47</v>
      </c>
    </row>
    <row r="72" spans="1:15" ht="15.75" x14ac:dyDescent="0.25">
      <c r="A72" s="13"/>
      <c r="B72" s="1" t="s">
        <v>25</v>
      </c>
      <c r="C72" s="1">
        <f t="shared" si="4"/>
        <v>-4.421207984151831</v>
      </c>
      <c r="D72" s="15"/>
      <c r="E72" s="1"/>
      <c r="F72" s="1"/>
      <c r="G72" s="15">
        <f>(-3-C72)/3</f>
        <v>0.47373599471727701</v>
      </c>
      <c r="H72" s="40">
        <f>(C72+6)/3</f>
        <v>0.52626400528272299</v>
      </c>
      <c r="I72" s="15"/>
      <c r="J72" s="15"/>
      <c r="K72" s="15"/>
      <c r="L72" s="15"/>
      <c r="M72" s="15"/>
      <c r="N72" s="15"/>
      <c r="O72" s="15" t="s">
        <v>47</v>
      </c>
    </row>
    <row r="73" spans="1:15" ht="15.75" x14ac:dyDescent="0.25">
      <c r="A73" s="13"/>
      <c r="B73" s="1" t="s">
        <v>26</v>
      </c>
      <c r="C73" s="1">
        <f t="shared" si="4"/>
        <v>-11.998988168729841</v>
      </c>
      <c r="D73" s="15"/>
      <c r="E73" s="40">
        <f>(-9-C73)/3</f>
        <v>0.99966272290994718</v>
      </c>
      <c r="F73" s="1">
        <f>(C73+12)/3</f>
        <v>3.3727709005286027E-4</v>
      </c>
      <c r="G73" s="15"/>
      <c r="H73" s="1"/>
      <c r="I73" s="1"/>
      <c r="J73" s="15"/>
      <c r="K73" s="15"/>
      <c r="L73" s="15"/>
      <c r="M73" s="15"/>
      <c r="N73" s="15"/>
      <c r="O73" s="15" t="s">
        <v>43</v>
      </c>
    </row>
    <row r="74" spans="1:15" ht="15.75" x14ac:dyDescent="0.25">
      <c r="A74" s="13"/>
      <c r="B74" s="1" t="s">
        <v>35</v>
      </c>
      <c r="C74" s="1">
        <f t="shared" si="4"/>
        <v>-10.510290057799001</v>
      </c>
      <c r="D74" s="15"/>
      <c r="E74" s="40">
        <f>(-9-C74)/3</f>
        <v>0.50343001926633357</v>
      </c>
      <c r="F74" s="1">
        <f>(C74+12)/3</f>
        <v>0.49656998073366648</v>
      </c>
      <c r="G74" s="15"/>
      <c r="H74" s="15"/>
      <c r="I74" s="15"/>
      <c r="J74" s="15"/>
      <c r="K74" s="15"/>
      <c r="L74" s="15"/>
      <c r="M74" s="15"/>
      <c r="N74" s="15"/>
      <c r="O74" s="15" t="s">
        <v>43</v>
      </c>
    </row>
    <row r="75" spans="1:15" ht="15.75" x14ac:dyDescent="0.25">
      <c r="A75" s="13"/>
      <c r="B75" s="1" t="s">
        <v>36</v>
      </c>
      <c r="C75" s="1">
        <f t="shared" si="4"/>
        <v>-6.4495908074259125</v>
      </c>
      <c r="D75" s="15"/>
      <c r="E75" s="15"/>
      <c r="F75" s="15">
        <f>(-6-C75)/3</f>
        <v>0.14986360247530417</v>
      </c>
      <c r="G75" s="52">
        <f>(C75+9)/3</f>
        <v>0.85013639752469583</v>
      </c>
      <c r="H75" s="1"/>
      <c r="I75" s="1"/>
      <c r="J75" s="15"/>
      <c r="K75" s="15"/>
      <c r="L75" s="15"/>
      <c r="M75" s="15"/>
      <c r="N75" s="15"/>
      <c r="O75" s="15" t="s">
        <v>46</v>
      </c>
    </row>
    <row r="76" spans="1:15" ht="15.75" x14ac:dyDescent="0.25">
      <c r="A76" s="2" t="s">
        <v>21</v>
      </c>
      <c r="B76" s="1" t="s">
        <v>28</v>
      </c>
      <c r="C76" s="1">
        <f t="shared" si="4"/>
        <v>-8.8817713081363916</v>
      </c>
      <c r="D76" s="15"/>
      <c r="E76" s="1"/>
      <c r="F76" s="40">
        <f>(-6-C76)/3</f>
        <v>0.9605904360454639</v>
      </c>
      <c r="G76" s="1">
        <f>(C76+9)/3</f>
        <v>3.9409563954536132E-2</v>
      </c>
      <c r="H76" s="15"/>
      <c r="I76" s="15"/>
      <c r="J76" s="15"/>
      <c r="K76" s="15"/>
      <c r="L76" s="15"/>
      <c r="M76" s="15"/>
      <c r="N76" s="15"/>
      <c r="O76" s="15" t="s">
        <v>44</v>
      </c>
    </row>
    <row r="77" spans="1:15" ht="15.75" x14ac:dyDescent="0.25">
      <c r="A77" s="13" t="s">
        <v>27</v>
      </c>
      <c r="B77" s="1" t="s">
        <v>29</v>
      </c>
      <c r="C77" s="1">
        <f t="shared" si="4"/>
        <v>-3.5312116743827406</v>
      </c>
      <c r="D77" s="15"/>
      <c r="E77" s="15"/>
      <c r="F77" s="15"/>
      <c r="G77" s="15">
        <f>(-3-C77)/3</f>
        <v>0.17707055812758021</v>
      </c>
      <c r="H77" s="40">
        <f>(C77+6)/3</f>
        <v>0.82292944187241979</v>
      </c>
      <c r="I77" s="15"/>
      <c r="J77" s="15"/>
      <c r="K77" s="15"/>
      <c r="L77" s="15"/>
      <c r="M77" s="15"/>
      <c r="N77" s="15"/>
      <c r="O77" s="15" t="s">
        <v>47</v>
      </c>
    </row>
    <row r="78" spans="1:15" ht="15.75" x14ac:dyDescent="0.25">
      <c r="A78" s="7"/>
      <c r="B78" s="1" t="s">
        <v>58</v>
      </c>
      <c r="C78" s="1">
        <f t="shared" si="4"/>
        <v>-4.3427803166585974</v>
      </c>
      <c r="D78" s="15"/>
      <c r="E78" s="1"/>
      <c r="F78" s="1"/>
      <c r="G78" s="15">
        <f>(-3-C78)/3</f>
        <v>0.44759343888619912</v>
      </c>
      <c r="H78" s="40">
        <f>(C78+6)/3</f>
        <v>0.55240656111380082</v>
      </c>
      <c r="I78" s="15"/>
      <c r="J78" s="15"/>
      <c r="K78" s="15"/>
      <c r="L78" s="15"/>
      <c r="M78" s="15"/>
      <c r="N78" s="15"/>
      <c r="O78" s="15" t="s">
        <v>47</v>
      </c>
    </row>
    <row r="79" spans="1:15" ht="15.75" x14ac:dyDescent="0.25">
      <c r="A79" s="2" t="s">
        <v>21</v>
      </c>
      <c r="B79" s="1" t="s">
        <v>30</v>
      </c>
      <c r="C79" s="1">
        <f t="shared" si="4"/>
        <v>-13.38383584760898</v>
      </c>
      <c r="D79" s="15">
        <f>(-12-C79)/3</f>
        <v>0.46127861586965996</v>
      </c>
      <c r="E79" s="52">
        <f>(C79+15)/3</f>
        <v>0.5387213841303401</v>
      </c>
      <c r="F79" s="1"/>
      <c r="G79" s="1"/>
      <c r="H79" s="15"/>
      <c r="I79" s="15"/>
      <c r="J79" s="15"/>
      <c r="K79" s="15"/>
      <c r="L79" s="15"/>
      <c r="M79" s="15"/>
      <c r="N79" s="15"/>
      <c r="O79" s="15" t="s">
        <v>43</v>
      </c>
    </row>
    <row r="80" spans="1:15" ht="15.75" x14ac:dyDescent="0.25">
      <c r="A80" s="2" t="s">
        <v>63</v>
      </c>
      <c r="B80" s="1" t="s">
        <v>64</v>
      </c>
      <c r="C80" s="1">
        <f t="shared" si="4"/>
        <v>-2.1310256016779494</v>
      </c>
      <c r="D80" s="15"/>
      <c r="E80" s="1"/>
      <c r="F80" s="1"/>
      <c r="G80" s="1"/>
      <c r="H80" s="52">
        <f>(-C80)/3</f>
        <v>0.71034186722598314</v>
      </c>
      <c r="I80" s="15">
        <f>(C80+3)/3</f>
        <v>0.28965813277401686</v>
      </c>
      <c r="J80" s="15"/>
      <c r="K80" s="15"/>
      <c r="L80" s="15"/>
      <c r="M80" s="15"/>
      <c r="N80" s="15"/>
      <c r="O80" s="15" t="s">
        <v>47</v>
      </c>
    </row>
    <row r="81" spans="1:15" ht="15.75" x14ac:dyDescent="0.25">
      <c r="A81" s="13" t="s">
        <v>31</v>
      </c>
      <c r="B81" s="14" t="s">
        <v>65</v>
      </c>
      <c r="C81" s="1">
        <f t="shared" si="4"/>
        <v>-4.0648816821434819</v>
      </c>
      <c r="D81" s="15"/>
      <c r="E81" s="1"/>
      <c r="F81" s="1"/>
      <c r="G81" s="15">
        <f>(-3-C81)/3</f>
        <v>0.35496056071449394</v>
      </c>
      <c r="H81" s="40">
        <f>(C81+6)/3</f>
        <v>0.645039439285506</v>
      </c>
      <c r="I81" s="15"/>
      <c r="J81" s="15"/>
      <c r="K81" s="15"/>
      <c r="L81" s="15"/>
      <c r="M81" s="15"/>
      <c r="N81" s="15"/>
      <c r="O81" s="15" t="s">
        <v>47</v>
      </c>
    </row>
    <row r="82" spans="1:15" ht="15.75" x14ac:dyDescent="0.25">
      <c r="A82" s="7" t="s">
        <v>32</v>
      </c>
      <c r="B82" s="1"/>
      <c r="C82" s="1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4" spans="1:15" ht="15.75" x14ac:dyDescent="0.25">
      <c r="A84" s="17"/>
    </row>
    <row r="86" spans="1:15" ht="15.75" x14ac:dyDescent="0.25">
      <c r="A86" s="17"/>
    </row>
  </sheetData>
  <mergeCells count="4">
    <mergeCell ref="F3:G3"/>
    <mergeCell ref="D24:N24"/>
    <mergeCell ref="D45:N45"/>
    <mergeCell ref="D66:N66"/>
  </mergeCells>
  <pageMargins left="0.7" right="0.7" top="0.75" bottom="0.75" header="0.3" footer="0.3"/>
  <pageSetup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3"/>
  <sheetViews>
    <sheetView topLeftCell="A3" zoomScale="70" zoomScaleNormal="70" workbookViewId="0">
      <selection activeCell="Q18" sqref="Q18"/>
    </sheetView>
  </sheetViews>
  <sheetFormatPr defaultRowHeight="15" x14ac:dyDescent="0.25"/>
  <cols>
    <col min="4" max="4" width="10.28515625" customWidth="1"/>
    <col min="11" max="11" width="11.140625" customWidth="1"/>
  </cols>
  <sheetData>
    <row r="2" spans="1:16" ht="15.75" x14ac:dyDescent="0.25">
      <c r="A2" s="30" t="s">
        <v>103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6" ht="15.75" x14ac:dyDescent="0.25">
      <c r="A3" s="17"/>
      <c r="B3" s="17">
        <v>1</v>
      </c>
      <c r="C3" s="17">
        <v>2</v>
      </c>
      <c r="D3" s="17">
        <v>3</v>
      </c>
      <c r="E3" s="17">
        <v>4</v>
      </c>
      <c r="F3" s="17">
        <v>5</v>
      </c>
      <c r="G3" s="17">
        <v>6</v>
      </c>
      <c r="H3" s="17">
        <v>7</v>
      </c>
      <c r="I3" s="17">
        <v>8</v>
      </c>
      <c r="J3" s="17">
        <v>9</v>
      </c>
      <c r="K3" s="17">
        <v>10</v>
      </c>
      <c r="L3" s="17">
        <v>11</v>
      </c>
      <c r="M3" s="17"/>
      <c r="N3" s="17"/>
      <c r="O3" s="17"/>
    </row>
    <row r="4" spans="1:16" ht="15.75" x14ac:dyDescent="0.25">
      <c r="A4" s="9" t="s">
        <v>66</v>
      </c>
      <c r="B4" s="9" t="s">
        <v>42</v>
      </c>
      <c r="C4" s="9" t="s">
        <v>43</v>
      </c>
      <c r="D4" s="9" t="s">
        <v>44</v>
      </c>
      <c r="E4" s="9" t="s">
        <v>46</v>
      </c>
      <c r="F4" s="9" t="s">
        <v>47</v>
      </c>
      <c r="G4" s="9" t="s">
        <v>48</v>
      </c>
      <c r="H4" s="9" t="s">
        <v>49</v>
      </c>
      <c r="I4" s="9" t="s">
        <v>50</v>
      </c>
      <c r="J4" s="9" t="s">
        <v>51</v>
      </c>
      <c r="K4" s="9" t="s">
        <v>52</v>
      </c>
      <c r="L4" s="9" t="s">
        <v>53</v>
      </c>
      <c r="M4" s="17"/>
      <c r="N4" s="27"/>
      <c r="O4" s="27"/>
      <c r="P4" s="27"/>
    </row>
    <row r="5" spans="1:16" ht="15.75" x14ac:dyDescent="0.25">
      <c r="A5" s="9" t="s">
        <v>42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7"/>
      <c r="N5" s="27"/>
      <c r="O5" s="27"/>
      <c r="P5" s="27"/>
    </row>
    <row r="6" spans="1:16" ht="15.75" x14ac:dyDescent="0.25">
      <c r="A6" s="9" t="s">
        <v>43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7"/>
      <c r="N6" s="27"/>
      <c r="O6" s="27"/>
      <c r="P6" s="27"/>
    </row>
    <row r="7" spans="1:16" ht="15.75" x14ac:dyDescent="0.25">
      <c r="A7" s="9" t="s">
        <v>44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7"/>
      <c r="N7" s="27"/>
      <c r="O7" s="27"/>
      <c r="P7" s="27"/>
    </row>
    <row r="8" spans="1:16" ht="15.75" x14ac:dyDescent="0.25">
      <c r="A8" s="9" t="s">
        <v>46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7"/>
      <c r="N8" s="27"/>
      <c r="O8" s="27"/>
      <c r="P8" s="27"/>
    </row>
    <row r="9" spans="1:16" ht="15.75" x14ac:dyDescent="0.25">
      <c r="A9" s="9" t="s">
        <v>47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7"/>
      <c r="N9" s="27"/>
      <c r="O9" s="27"/>
      <c r="P9" s="27"/>
    </row>
    <row r="10" spans="1:16" ht="15.75" x14ac:dyDescent="0.25">
      <c r="A10" s="9" t="s">
        <v>48</v>
      </c>
      <c r="B10" s="9"/>
      <c r="C10" s="9"/>
      <c r="D10" s="9" t="s">
        <v>43</v>
      </c>
      <c r="E10" s="9"/>
      <c r="F10" s="9"/>
      <c r="G10" s="9"/>
      <c r="H10" s="9"/>
      <c r="I10" s="9"/>
      <c r="J10" s="9"/>
      <c r="K10" s="9"/>
      <c r="L10" s="9"/>
      <c r="M10" s="17"/>
      <c r="N10" s="27"/>
      <c r="O10" s="27"/>
      <c r="P10" s="27"/>
    </row>
    <row r="11" spans="1:16" ht="15.75" x14ac:dyDescent="0.25">
      <c r="A11" s="9" t="s">
        <v>49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7"/>
      <c r="N11" s="27"/>
      <c r="O11" s="27"/>
      <c r="P11" s="27"/>
    </row>
    <row r="12" spans="1:16" ht="15.75" x14ac:dyDescent="0.25">
      <c r="A12" s="9" t="s">
        <v>50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7"/>
      <c r="N12" s="27"/>
      <c r="O12" s="27"/>
      <c r="P12" s="27"/>
    </row>
    <row r="13" spans="1:16" ht="15.75" x14ac:dyDescent="0.25">
      <c r="A13" s="9" t="s">
        <v>51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7"/>
      <c r="N13" s="27"/>
      <c r="O13" s="27"/>
      <c r="P13" s="27"/>
    </row>
    <row r="14" spans="1:16" ht="15.75" x14ac:dyDescent="0.25">
      <c r="A14" s="9" t="s">
        <v>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7"/>
      <c r="N14" s="27"/>
      <c r="O14" s="27"/>
      <c r="P14" s="27"/>
    </row>
    <row r="15" spans="1:16" ht="15.75" x14ac:dyDescent="0.25">
      <c r="A15" s="9" t="s">
        <v>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7"/>
      <c r="N15" s="27"/>
      <c r="O15" s="27"/>
      <c r="P15" s="27"/>
    </row>
    <row r="16" spans="1:16" ht="15.75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27"/>
      <c r="O16" s="27"/>
      <c r="P16" s="27"/>
    </row>
    <row r="17" spans="1:16" ht="15.75" x14ac:dyDescent="0.25">
      <c r="A17" s="3" t="s">
        <v>67</v>
      </c>
      <c r="B17" s="53" t="s">
        <v>69</v>
      </c>
      <c r="C17" s="54"/>
      <c r="D17" s="2" t="s">
        <v>70</v>
      </c>
      <c r="E17" s="17"/>
      <c r="F17" s="3" t="s">
        <v>67</v>
      </c>
      <c r="G17" s="53" t="s">
        <v>69</v>
      </c>
      <c r="H17" s="54"/>
      <c r="I17" s="2" t="s">
        <v>70</v>
      </c>
      <c r="J17" s="17"/>
      <c r="K17" s="17"/>
      <c r="L17" s="17"/>
      <c r="M17" s="17"/>
      <c r="N17" s="27"/>
      <c r="O17" s="27"/>
      <c r="P17" s="27"/>
    </row>
    <row r="18" spans="1:16" ht="15.75" x14ac:dyDescent="0.25">
      <c r="A18" s="8" t="s">
        <v>68</v>
      </c>
      <c r="B18" s="24" t="s">
        <v>38</v>
      </c>
      <c r="C18" s="25" t="s">
        <v>39</v>
      </c>
      <c r="D18" s="9" t="s">
        <v>40</v>
      </c>
      <c r="E18" s="17"/>
      <c r="F18" s="8" t="s">
        <v>68</v>
      </c>
      <c r="G18" s="24" t="s">
        <v>38</v>
      </c>
      <c r="H18" s="25" t="s">
        <v>39</v>
      </c>
      <c r="I18" s="9" t="s">
        <v>40</v>
      </c>
      <c r="J18" s="17"/>
      <c r="K18" s="17"/>
      <c r="L18" s="17"/>
      <c r="M18" s="17"/>
      <c r="N18" s="17"/>
      <c r="O18" s="17"/>
    </row>
    <row r="19" spans="1:16" ht="15.75" x14ac:dyDescent="0.25">
      <c r="A19" s="9">
        <v>1</v>
      </c>
      <c r="B19" s="15" t="s">
        <v>48</v>
      </c>
      <c r="C19" s="15" t="s">
        <v>44</v>
      </c>
      <c r="D19" s="15" t="s">
        <v>43</v>
      </c>
      <c r="E19" s="17"/>
      <c r="F19" s="9">
        <v>1</v>
      </c>
      <c r="G19" s="15">
        <v>6</v>
      </c>
      <c r="H19" s="15">
        <v>3</v>
      </c>
      <c r="I19" s="15">
        <v>2</v>
      </c>
      <c r="J19" s="17"/>
      <c r="K19" s="17"/>
      <c r="L19" s="17"/>
      <c r="M19" s="17"/>
      <c r="N19" s="17"/>
      <c r="O19" s="17"/>
    </row>
    <row r="20" spans="1:16" ht="15.75" x14ac:dyDescent="0.25">
      <c r="A20" s="9">
        <v>2</v>
      </c>
      <c r="B20" s="15" t="s">
        <v>46</v>
      </c>
      <c r="C20" s="15" t="s">
        <v>43</v>
      </c>
      <c r="D20" s="15" t="s">
        <v>44</v>
      </c>
      <c r="E20" s="17"/>
      <c r="F20" s="9">
        <v>2</v>
      </c>
      <c r="G20" s="15">
        <v>4</v>
      </c>
      <c r="H20" s="15">
        <v>2</v>
      </c>
      <c r="I20" s="15">
        <v>3</v>
      </c>
      <c r="J20" s="17"/>
      <c r="K20" s="17"/>
      <c r="L20" s="17"/>
      <c r="M20" s="17"/>
      <c r="N20" s="17"/>
      <c r="O20" s="17"/>
    </row>
    <row r="21" spans="1:16" ht="15.75" x14ac:dyDescent="0.25">
      <c r="A21" s="9">
        <v>3</v>
      </c>
      <c r="B21" s="15" t="s">
        <v>44</v>
      </c>
      <c r="C21" s="15" t="s">
        <v>47</v>
      </c>
      <c r="D21" s="15" t="s">
        <v>42</v>
      </c>
      <c r="E21" s="17"/>
      <c r="F21" s="9">
        <v>3</v>
      </c>
      <c r="G21" s="15">
        <v>3</v>
      </c>
      <c r="H21" s="15">
        <v>5</v>
      </c>
      <c r="I21" s="15">
        <v>1</v>
      </c>
      <c r="J21" s="17"/>
      <c r="K21" s="17"/>
      <c r="L21" s="17"/>
      <c r="M21" s="17"/>
      <c r="N21" s="17"/>
      <c r="O21" s="17"/>
    </row>
    <row r="22" spans="1:16" ht="15.75" x14ac:dyDescent="0.25">
      <c r="A22" s="9">
        <v>4</v>
      </c>
      <c r="B22" s="15" t="s">
        <v>43</v>
      </c>
      <c r="C22" s="15" t="s">
        <v>42</v>
      </c>
      <c r="D22" s="15" t="s">
        <v>44</v>
      </c>
      <c r="E22" s="17"/>
      <c r="F22" s="9">
        <v>4</v>
      </c>
      <c r="G22" s="15">
        <v>2</v>
      </c>
      <c r="H22" s="15">
        <v>1</v>
      </c>
      <c r="I22" s="15">
        <v>3</v>
      </c>
      <c r="J22" s="17"/>
      <c r="K22" s="17"/>
      <c r="L22" s="17"/>
      <c r="M22" s="17"/>
      <c r="N22" s="17"/>
      <c r="O22" s="17"/>
    </row>
    <row r="23" spans="1:16" ht="15.75" x14ac:dyDescent="0.25">
      <c r="A23" s="9">
        <v>5</v>
      </c>
      <c r="B23" s="15" t="s">
        <v>44</v>
      </c>
      <c r="C23" s="15" t="s">
        <v>44</v>
      </c>
      <c r="D23" s="15" t="s">
        <v>43</v>
      </c>
      <c r="E23" s="17"/>
      <c r="F23" s="9">
        <v>5</v>
      </c>
      <c r="G23" s="15">
        <v>3</v>
      </c>
      <c r="H23" s="15">
        <v>3</v>
      </c>
      <c r="I23" s="15">
        <v>2</v>
      </c>
      <c r="J23" s="17"/>
      <c r="K23" s="17"/>
      <c r="L23" s="17"/>
      <c r="M23" s="17"/>
      <c r="N23" s="17"/>
      <c r="O23" s="17"/>
    </row>
    <row r="24" spans="1:16" ht="15.75" x14ac:dyDescent="0.25">
      <c r="A24" s="9">
        <v>6</v>
      </c>
      <c r="B24" s="15" t="s">
        <v>44</v>
      </c>
      <c r="C24" s="15" t="s">
        <v>43</v>
      </c>
      <c r="D24" s="15" t="s">
        <v>47</v>
      </c>
      <c r="E24" s="17"/>
      <c r="F24" s="9">
        <v>6</v>
      </c>
      <c r="G24" s="15">
        <v>3</v>
      </c>
      <c r="H24" s="15">
        <v>2</v>
      </c>
      <c r="I24" s="15">
        <v>5</v>
      </c>
      <c r="J24" s="17"/>
      <c r="K24" s="17"/>
      <c r="L24" s="17"/>
      <c r="M24" s="17"/>
      <c r="N24" s="17"/>
      <c r="O24" s="17"/>
    </row>
    <row r="25" spans="1:16" ht="15.75" x14ac:dyDescent="0.25">
      <c r="A25" s="9">
        <v>7</v>
      </c>
      <c r="B25" s="15" t="s">
        <v>44</v>
      </c>
      <c r="C25" s="15" t="s">
        <v>47</v>
      </c>
      <c r="D25" s="15" t="s">
        <v>42</v>
      </c>
      <c r="E25" s="17"/>
      <c r="F25" s="9">
        <v>7</v>
      </c>
      <c r="G25" s="15">
        <v>3</v>
      </c>
      <c r="H25" s="15">
        <v>5</v>
      </c>
      <c r="I25" s="15">
        <v>1</v>
      </c>
      <c r="J25" s="17"/>
      <c r="K25" s="17"/>
      <c r="L25" s="17"/>
      <c r="M25" s="17"/>
      <c r="N25" s="17"/>
      <c r="O25" s="17"/>
    </row>
    <row r="26" spans="1:16" ht="15.75" x14ac:dyDescent="0.25">
      <c r="A26" s="9">
        <v>8</v>
      </c>
      <c r="B26" s="15" t="s">
        <v>47</v>
      </c>
      <c r="C26" s="15" t="s">
        <v>42</v>
      </c>
      <c r="D26" s="15" t="s">
        <v>47</v>
      </c>
      <c r="F26" s="9">
        <v>8</v>
      </c>
      <c r="G26" s="15">
        <v>5</v>
      </c>
      <c r="H26" s="15">
        <v>1</v>
      </c>
      <c r="I26" s="15">
        <v>5</v>
      </c>
    </row>
    <row r="27" spans="1:16" ht="15.75" x14ac:dyDescent="0.25">
      <c r="A27" s="9">
        <v>9</v>
      </c>
      <c r="B27" s="15" t="s">
        <v>46</v>
      </c>
      <c r="C27" s="15" t="s">
        <v>46</v>
      </c>
      <c r="D27" s="15" t="s">
        <v>44</v>
      </c>
      <c r="F27" s="9">
        <v>9</v>
      </c>
      <c r="G27" s="15">
        <v>4</v>
      </c>
      <c r="H27" s="15">
        <v>4</v>
      </c>
      <c r="I27" s="15">
        <v>3</v>
      </c>
    </row>
    <row r="28" spans="1:16" ht="15.75" x14ac:dyDescent="0.25">
      <c r="A28" s="9">
        <v>10</v>
      </c>
      <c r="B28" s="15" t="s">
        <v>46</v>
      </c>
      <c r="C28" s="15" t="s">
        <v>44</v>
      </c>
      <c r="D28" s="15" t="s">
        <v>46</v>
      </c>
      <c r="F28" s="9">
        <v>10</v>
      </c>
      <c r="G28" s="15">
        <v>4</v>
      </c>
      <c r="H28" s="15">
        <v>3</v>
      </c>
      <c r="I28" s="15">
        <v>4</v>
      </c>
    </row>
    <row r="29" spans="1:16" ht="15.75" x14ac:dyDescent="0.25">
      <c r="A29" s="9">
        <v>11</v>
      </c>
      <c r="B29" s="15" t="s">
        <v>47</v>
      </c>
      <c r="C29" s="15" t="s">
        <v>46</v>
      </c>
      <c r="D29" s="15" t="s">
        <v>43</v>
      </c>
      <c r="E29" s="28"/>
      <c r="F29" s="9">
        <v>11</v>
      </c>
      <c r="G29" s="15">
        <v>5</v>
      </c>
      <c r="H29" s="15">
        <v>4</v>
      </c>
      <c r="I29" s="15">
        <v>2</v>
      </c>
    </row>
    <row r="30" spans="1:16" ht="15.75" x14ac:dyDescent="0.25">
      <c r="A30" s="9">
        <v>12</v>
      </c>
      <c r="B30" s="15" t="s">
        <v>53</v>
      </c>
      <c r="C30" s="15" t="s">
        <v>43</v>
      </c>
      <c r="D30" s="15" t="s">
        <v>44</v>
      </c>
      <c r="F30" s="9">
        <v>12</v>
      </c>
      <c r="G30" s="15">
        <v>11</v>
      </c>
      <c r="H30" s="15">
        <v>2</v>
      </c>
      <c r="I30" s="15">
        <v>3</v>
      </c>
    </row>
    <row r="31" spans="1:16" ht="15.75" x14ac:dyDescent="0.25">
      <c r="A31" s="9">
        <v>13</v>
      </c>
      <c r="B31" s="15" t="s">
        <v>51</v>
      </c>
      <c r="C31" s="15" t="s">
        <v>44</v>
      </c>
      <c r="D31" s="15" t="s">
        <v>43</v>
      </c>
      <c r="F31" s="9">
        <v>13</v>
      </c>
      <c r="G31" s="15">
        <v>9</v>
      </c>
      <c r="H31" s="15">
        <v>3</v>
      </c>
      <c r="I31" s="15">
        <v>2</v>
      </c>
    </row>
    <row r="32" spans="1:16" ht="15.75" x14ac:dyDescent="0.25">
      <c r="A32" s="9">
        <v>14</v>
      </c>
      <c r="B32" s="15" t="s">
        <v>46</v>
      </c>
      <c r="C32" s="15" t="s">
        <v>43</v>
      </c>
      <c r="D32" s="15" t="s">
        <v>42</v>
      </c>
      <c r="F32" s="9">
        <v>14</v>
      </c>
      <c r="G32" s="15">
        <v>4</v>
      </c>
      <c r="H32" s="15">
        <v>2</v>
      </c>
      <c r="I32" s="15">
        <v>1</v>
      </c>
    </row>
    <row r="33" spans="4:4" ht="15.75" x14ac:dyDescent="0.25">
      <c r="D33" s="27"/>
    </row>
  </sheetData>
  <mergeCells count="2">
    <mergeCell ref="B17:C17"/>
    <mergeCell ref="G17:H17"/>
  </mergeCells>
  <pageMargins left="0.7" right="0.7" top="0.75" bottom="0.75" header="0.3" footer="0.3"/>
  <pageSetup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3"/>
  <sheetViews>
    <sheetView zoomScale="70" zoomScaleNormal="70" workbookViewId="0">
      <selection activeCell="H24" sqref="H24"/>
    </sheetView>
  </sheetViews>
  <sheetFormatPr defaultRowHeight="15" x14ac:dyDescent="0.25"/>
  <cols>
    <col min="4" max="4" width="16.42578125" customWidth="1"/>
    <col min="11" max="11" width="11.140625" customWidth="1"/>
  </cols>
  <sheetData>
    <row r="2" spans="1:16" ht="15.75" x14ac:dyDescent="0.25">
      <c r="A2" s="30" t="s">
        <v>193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6" ht="15.75" x14ac:dyDescent="0.25">
      <c r="A3" s="17"/>
      <c r="B3" s="17">
        <v>1</v>
      </c>
      <c r="C3" s="17">
        <v>2</v>
      </c>
      <c r="D3" s="17">
        <v>3</v>
      </c>
      <c r="E3" s="17">
        <v>4</v>
      </c>
      <c r="F3" s="17">
        <v>5</v>
      </c>
      <c r="G3" s="17">
        <v>6</v>
      </c>
      <c r="H3" s="17">
        <v>7</v>
      </c>
      <c r="I3" s="17">
        <v>8</v>
      </c>
      <c r="J3" s="17">
        <v>9</v>
      </c>
      <c r="K3" s="17">
        <v>10</v>
      </c>
      <c r="L3" s="17">
        <v>11</v>
      </c>
      <c r="M3" s="17"/>
      <c r="N3" s="17"/>
      <c r="O3" s="17"/>
    </row>
    <row r="4" spans="1:16" ht="15.75" x14ac:dyDescent="0.25">
      <c r="A4" s="9" t="s">
        <v>66</v>
      </c>
      <c r="B4" s="9" t="s">
        <v>42</v>
      </c>
      <c r="C4" s="9" t="s">
        <v>43</v>
      </c>
      <c r="D4" s="9" t="s">
        <v>44</v>
      </c>
      <c r="E4" s="9" t="s">
        <v>46</v>
      </c>
      <c r="F4" s="9" t="s">
        <v>47</v>
      </c>
      <c r="G4" s="9" t="s">
        <v>48</v>
      </c>
      <c r="H4" s="9" t="s">
        <v>49</v>
      </c>
      <c r="I4" s="9" t="s">
        <v>50</v>
      </c>
      <c r="J4" s="9" t="s">
        <v>51</v>
      </c>
      <c r="K4" s="9" t="s">
        <v>52</v>
      </c>
      <c r="L4" s="9" t="s">
        <v>53</v>
      </c>
      <c r="M4" s="17"/>
      <c r="N4" s="27"/>
      <c r="O4" s="27"/>
      <c r="P4" s="27"/>
    </row>
    <row r="5" spans="1:16" ht="15.75" x14ac:dyDescent="0.25">
      <c r="A5" s="9" t="s">
        <v>42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7"/>
      <c r="N5" s="27"/>
      <c r="O5" s="27"/>
      <c r="P5" s="27"/>
    </row>
    <row r="6" spans="1:16" ht="15.75" x14ac:dyDescent="0.25">
      <c r="A6" s="9" t="s">
        <v>43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7"/>
      <c r="N6" s="27"/>
      <c r="O6" s="27"/>
      <c r="P6" s="27"/>
    </row>
    <row r="7" spans="1:16" ht="15.75" x14ac:dyDescent="0.25">
      <c r="A7" s="9" t="s">
        <v>44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7"/>
      <c r="N7" s="27"/>
      <c r="O7" s="27"/>
      <c r="P7" s="27"/>
    </row>
    <row r="8" spans="1:16" ht="15.75" x14ac:dyDescent="0.25">
      <c r="A8" s="9" t="s">
        <v>46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7"/>
      <c r="N8" s="27"/>
      <c r="O8" s="27"/>
      <c r="P8" s="27"/>
    </row>
    <row r="9" spans="1:16" ht="15.75" x14ac:dyDescent="0.25">
      <c r="A9" s="9" t="s">
        <v>47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7"/>
      <c r="N9" s="27"/>
      <c r="O9" s="27"/>
      <c r="P9" s="27"/>
    </row>
    <row r="10" spans="1:16" ht="15.75" x14ac:dyDescent="0.25">
      <c r="A10" s="9" t="s">
        <v>48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7"/>
      <c r="N10" s="27"/>
      <c r="O10" s="27"/>
      <c r="P10" s="27"/>
    </row>
    <row r="11" spans="1:16" ht="15.75" x14ac:dyDescent="0.25">
      <c r="A11" s="9" t="s">
        <v>49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7"/>
      <c r="N11" s="27"/>
      <c r="O11" s="27"/>
      <c r="P11" s="27"/>
    </row>
    <row r="12" spans="1:16" ht="15.75" x14ac:dyDescent="0.25">
      <c r="A12" s="9" t="s">
        <v>50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7"/>
      <c r="N12" s="27"/>
      <c r="O12" s="27"/>
      <c r="P12" s="27"/>
    </row>
    <row r="13" spans="1:16" ht="15.75" x14ac:dyDescent="0.25">
      <c r="A13" s="9" t="s">
        <v>51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7"/>
      <c r="N13" s="27"/>
      <c r="O13" s="27"/>
      <c r="P13" s="27"/>
    </row>
    <row r="14" spans="1:16" ht="15.75" x14ac:dyDescent="0.25">
      <c r="A14" s="9" t="s">
        <v>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7"/>
      <c r="N14" s="27"/>
      <c r="O14" s="27"/>
      <c r="P14" s="27"/>
    </row>
    <row r="15" spans="1:16" ht="15.75" x14ac:dyDescent="0.25">
      <c r="A15" s="9" t="s">
        <v>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7"/>
      <c r="N15" s="27"/>
      <c r="O15" s="27"/>
      <c r="P15" s="27"/>
    </row>
    <row r="16" spans="1:16" ht="15.75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27"/>
      <c r="O16" s="27"/>
      <c r="P16" s="27"/>
    </row>
    <row r="17" spans="1:16" ht="15.75" x14ac:dyDescent="0.25">
      <c r="A17" s="3" t="s">
        <v>67</v>
      </c>
      <c r="B17" s="53" t="s">
        <v>69</v>
      </c>
      <c r="C17" s="54"/>
      <c r="D17" s="2" t="s">
        <v>70</v>
      </c>
      <c r="E17" s="17"/>
      <c r="F17" s="3" t="s">
        <v>67</v>
      </c>
      <c r="G17" s="53" t="s">
        <v>69</v>
      </c>
      <c r="H17" s="54"/>
      <c r="I17" s="2" t="s">
        <v>70</v>
      </c>
      <c r="J17" s="17"/>
      <c r="K17" s="17"/>
      <c r="L17" s="17"/>
      <c r="M17" s="17"/>
      <c r="N17" s="27"/>
      <c r="O17" s="27"/>
      <c r="P17" s="27"/>
    </row>
    <row r="18" spans="1:16" ht="15.75" x14ac:dyDescent="0.25">
      <c r="A18" s="8" t="s">
        <v>68</v>
      </c>
      <c r="B18" s="24" t="s">
        <v>38</v>
      </c>
      <c r="C18" s="25" t="s">
        <v>39</v>
      </c>
      <c r="D18" s="9" t="s">
        <v>40</v>
      </c>
      <c r="E18" s="17"/>
      <c r="F18" s="8" t="s">
        <v>68</v>
      </c>
      <c r="G18" s="24" t="s">
        <v>38</v>
      </c>
      <c r="H18" s="25" t="s">
        <v>39</v>
      </c>
      <c r="I18" s="9" t="s">
        <v>40</v>
      </c>
      <c r="J18" s="17"/>
      <c r="K18" s="17"/>
      <c r="L18" s="17"/>
      <c r="M18" s="17"/>
      <c r="N18" s="17"/>
      <c r="O18" s="17"/>
    </row>
    <row r="19" spans="1:16" ht="15.75" x14ac:dyDescent="0.25">
      <c r="A19" s="9">
        <v>1</v>
      </c>
      <c r="B19" s="15" t="s">
        <v>43</v>
      </c>
      <c r="C19" s="15" t="s">
        <v>47</v>
      </c>
      <c r="D19" s="15" t="s">
        <v>44</v>
      </c>
      <c r="E19" s="17"/>
      <c r="F19" s="9">
        <v>1</v>
      </c>
      <c r="G19" s="15">
        <v>2</v>
      </c>
      <c r="H19" s="15">
        <v>5</v>
      </c>
      <c r="I19" s="15">
        <v>3</v>
      </c>
      <c r="J19" s="17"/>
      <c r="K19" s="17"/>
      <c r="L19" s="17"/>
      <c r="M19" s="17"/>
      <c r="N19" s="17"/>
      <c r="O19" s="17"/>
    </row>
    <row r="20" spans="1:16" ht="15.75" x14ac:dyDescent="0.25">
      <c r="A20" s="9">
        <v>2</v>
      </c>
      <c r="B20" s="15" t="s">
        <v>44</v>
      </c>
      <c r="C20" s="15" t="s">
        <v>44</v>
      </c>
      <c r="D20" s="15" t="s">
        <v>47</v>
      </c>
      <c r="E20" s="17"/>
      <c r="F20" s="9">
        <v>2</v>
      </c>
      <c r="G20" s="15">
        <v>3</v>
      </c>
      <c r="H20" s="15">
        <v>3</v>
      </c>
      <c r="I20" s="15">
        <v>5</v>
      </c>
      <c r="J20" s="17"/>
      <c r="K20" s="17"/>
      <c r="L20" s="17"/>
      <c r="M20" s="17"/>
      <c r="N20" s="17"/>
      <c r="O20" s="17"/>
    </row>
    <row r="21" spans="1:16" ht="15.75" x14ac:dyDescent="0.25">
      <c r="A21" s="9">
        <v>3</v>
      </c>
      <c r="B21" s="15" t="s">
        <v>42</v>
      </c>
      <c r="C21" s="15" t="s">
        <v>46</v>
      </c>
      <c r="D21" s="15" t="s">
        <v>44</v>
      </c>
      <c r="E21" s="17"/>
      <c r="F21" s="9">
        <v>3</v>
      </c>
      <c r="G21" s="15">
        <v>1</v>
      </c>
      <c r="H21" s="15">
        <v>4</v>
      </c>
      <c r="I21" s="15">
        <v>3</v>
      </c>
      <c r="J21" s="17"/>
      <c r="K21" s="17"/>
      <c r="L21" s="17"/>
      <c r="M21" s="17"/>
      <c r="N21" s="17"/>
      <c r="O21" s="17"/>
    </row>
    <row r="22" spans="1:16" ht="15.75" x14ac:dyDescent="0.25">
      <c r="A22" s="9">
        <v>4</v>
      </c>
      <c r="B22" s="15" t="s">
        <v>44</v>
      </c>
      <c r="C22" s="15" t="s">
        <v>44</v>
      </c>
      <c r="D22" s="15" t="s">
        <v>47</v>
      </c>
      <c r="E22" s="17"/>
      <c r="F22" s="9">
        <v>4</v>
      </c>
      <c r="G22" s="15">
        <v>3</v>
      </c>
      <c r="H22" s="15">
        <v>3</v>
      </c>
      <c r="I22" s="15">
        <v>5</v>
      </c>
      <c r="J22" s="17"/>
      <c r="K22" s="17"/>
      <c r="L22" s="17"/>
      <c r="M22" s="17"/>
      <c r="N22" s="17"/>
      <c r="O22" s="17"/>
    </row>
    <row r="23" spans="1:16" ht="15.75" x14ac:dyDescent="0.25">
      <c r="A23" s="9">
        <v>5</v>
      </c>
      <c r="B23" s="15" t="s">
        <v>43</v>
      </c>
      <c r="C23" s="15" t="s">
        <v>47</v>
      </c>
      <c r="D23" s="15" t="s">
        <v>47</v>
      </c>
      <c r="E23" s="17"/>
      <c r="F23" s="9">
        <v>5</v>
      </c>
      <c r="G23" s="15">
        <v>2</v>
      </c>
      <c r="H23" s="15">
        <v>5</v>
      </c>
      <c r="I23" s="15">
        <v>5</v>
      </c>
      <c r="J23" s="17"/>
      <c r="K23" s="17"/>
      <c r="L23" s="17"/>
      <c r="M23" s="17"/>
      <c r="N23" s="17"/>
      <c r="O23" s="17"/>
    </row>
    <row r="24" spans="1:16" ht="15.75" x14ac:dyDescent="0.25">
      <c r="A24" s="9">
        <v>6</v>
      </c>
      <c r="B24" s="15" t="s">
        <v>47</v>
      </c>
      <c r="C24" s="15" t="s">
        <v>47</v>
      </c>
      <c r="D24" s="15" t="s">
        <v>43</v>
      </c>
      <c r="E24" s="17"/>
      <c r="F24" s="9">
        <v>6</v>
      </c>
      <c r="G24" s="15">
        <v>5</v>
      </c>
      <c r="H24" s="15">
        <v>5</v>
      </c>
      <c r="I24" s="15">
        <v>2</v>
      </c>
      <c r="J24" s="17"/>
      <c r="K24" s="17"/>
      <c r="L24" s="17"/>
      <c r="M24" s="17"/>
      <c r="N24" s="17"/>
      <c r="O24" s="17"/>
    </row>
    <row r="25" spans="1:16" ht="15.75" x14ac:dyDescent="0.25">
      <c r="A25" s="9">
        <v>7</v>
      </c>
      <c r="B25" s="15" t="s">
        <v>42</v>
      </c>
      <c r="C25" s="15" t="s">
        <v>43</v>
      </c>
      <c r="D25" s="15" t="s">
        <v>43</v>
      </c>
      <c r="E25" s="17"/>
      <c r="F25" s="9">
        <v>7</v>
      </c>
      <c r="G25" s="15">
        <v>1</v>
      </c>
      <c r="H25" s="15">
        <v>2</v>
      </c>
      <c r="I25" s="15">
        <v>2</v>
      </c>
      <c r="J25" s="17"/>
      <c r="K25" s="17"/>
      <c r="L25" s="17"/>
      <c r="M25" s="17"/>
      <c r="N25" s="17"/>
      <c r="O25" s="17"/>
    </row>
    <row r="26" spans="1:16" ht="15.75" x14ac:dyDescent="0.25">
      <c r="A26" s="9">
        <v>8</v>
      </c>
      <c r="B26" s="15" t="s">
        <v>47</v>
      </c>
      <c r="C26" s="15" t="s">
        <v>43</v>
      </c>
      <c r="D26" s="15" t="s">
        <v>46</v>
      </c>
      <c r="F26" s="9">
        <v>8</v>
      </c>
      <c r="G26" s="15">
        <v>5</v>
      </c>
      <c r="H26" s="15">
        <v>2</v>
      </c>
      <c r="I26" s="15">
        <v>4</v>
      </c>
    </row>
    <row r="27" spans="1:16" ht="15.75" x14ac:dyDescent="0.25">
      <c r="A27" s="9">
        <v>9</v>
      </c>
      <c r="B27" s="15" t="s">
        <v>44</v>
      </c>
      <c r="C27" s="15" t="s">
        <v>47</v>
      </c>
      <c r="D27" s="15" t="s">
        <v>44</v>
      </c>
      <c r="F27" s="9">
        <v>9</v>
      </c>
      <c r="G27" s="15">
        <v>3</v>
      </c>
      <c r="H27" s="15">
        <v>5</v>
      </c>
      <c r="I27" s="15">
        <v>3</v>
      </c>
    </row>
    <row r="28" spans="1:16" ht="15.75" x14ac:dyDescent="0.25">
      <c r="A28" s="9">
        <v>10</v>
      </c>
      <c r="B28" s="15" t="s">
        <v>46</v>
      </c>
      <c r="C28" s="15" t="s">
        <v>44</v>
      </c>
      <c r="D28" s="15" t="s">
        <v>47</v>
      </c>
      <c r="F28" s="9">
        <v>10</v>
      </c>
      <c r="G28" s="15">
        <v>4</v>
      </c>
      <c r="H28" s="15">
        <v>3</v>
      </c>
      <c r="I28" s="15">
        <v>5</v>
      </c>
    </row>
    <row r="29" spans="1:16" ht="15.75" x14ac:dyDescent="0.25">
      <c r="A29" s="9">
        <v>11</v>
      </c>
      <c r="B29" s="15" t="s">
        <v>43</v>
      </c>
      <c r="C29" s="15" t="s">
        <v>47</v>
      </c>
      <c r="D29" s="15" t="s">
        <v>47</v>
      </c>
      <c r="E29" s="28"/>
      <c r="F29" s="9">
        <v>11</v>
      </c>
      <c r="G29" s="15">
        <v>2</v>
      </c>
      <c r="H29" s="15">
        <v>5</v>
      </c>
      <c r="I29" s="15">
        <v>5</v>
      </c>
    </row>
    <row r="30" spans="1:16" ht="15.75" x14ac:dyDescent="0.25">
      <c r="A30" s="9">
        <v>12</v>
      </c>
      <c r="B30" s="15" t="s">
        <v>44</v>
      </c>
      <c r="C30" s="15" t="s">
        <v>47</v>
      </c>
      <c r="D30" s="15" t="s">
        <v>43</v>
      </c>
      <c r="F30" s="9">
        <v>12</v>
      </c>
      <c r="G30" s="15">
        <v>3</v>
      </c>
      <c r="H30" s="15">
        <v>5</v>
      </c>
      <c r="I30" s="15">
        <v>2</v>
      </c>
    </row>
    <row r="31" spans="1:16" ht="15.75" x14ac:dyDescent="0.25">
      <c r="A31" s="9">
        <v>13</v>
      </c>
      <c r="B31" s="15" t="s">
        <v>43</v>
      </c>
      <c r="C31" s="15" t="s">
        <v>43</v>
      </c>
      <c r="D31" s="15" t="s">
        <v>47</v>
      </c>
      <c r="F31" s="9">
        <v>13</v>
      </c>
      <c r="G31" s="15">
        <v>2</v>
      </c>
      <c r="H31" s="15">
        <v>2</v>
      </c>
      <c r="I31" s="15">
        <v>5</v>
      </c>
    </row>
    <row r="32" spans="1:16" ht="15.75" x14ac:dyDescent="0.25">
      <c r="A32" s="9">
        <v>14</v>
      </c>
      <c r="B32" s="15" t="s">
        <v>42</v>
      </c>
      <c r="C32" s="15" t="s">
        <v>47</v>
      </c>
      <c r="D32" s="15" t="s">
        <v>47</v>
      </c>
      <c r="F32" s="9">
        <v>14</v>
      </c>
      <c r="G32" s="15">
        <v>1</v>
      </c>
      <c r="H32" s="15">
        <v>5</v>
      </c>
      <c r="I32" s="15">
        <v>5</v>
      </c>
    </row>
    <row r="33" spans="4:4" ht="15.75" x14ac:dyDescent="0.25">
      <c r="D33" s="27"/>
    </row>
  </sheetData>
  <mergeCells count="2">
    <mergeCell ref="B17:C17"/>
    <mergeCell ref="G17:H17"/>
  </mergeCells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32"/>
  <sheetViews>
    <sheetView workbookViewId="0">
      <selection activeCell="R13" sqref="R13"/>
    </sheetView>
  </sheetViews>
  <sheetFormatPr defaultRowHeight="15" x14ac:dyDescent="0.25"/>
  <cols>
    <col min="1" max="1" width="8.28515625" customWidth="1"/>
    <col min="2" max="2" width="17.28515625" customWidth="1"/>
    <col min="3" max="3" width="14.28515625" customWidth="1"/>
    <col min="4" max="4" width="16.42578125" customWidth="1"/>
    <col min="5" max="5" width="14" customWidth="1"/>
    <col min="6" max="6" width="15.85546875" customWidth="1"/>
  </cols>
  <sheetData>
    <row r="2" spans="1:6" x14ac:dyDescent="0.25">
      <c r="A2" s="42" t="s">
        <v>203</v>
      </c>
      <c r="B2" s="42">
        <v>2020</v>
      </c>
      <c r="C2" s="42">
        <v>2021</v>
      </c>
      <c r="D2" s="42">
        <v>2022</v>
      </c>
      <c r="E2" s="42">
        <v>2023</v>
      </c>
      <c r="F2" s="42">
        <v>2024</v>
      </c>
    </row>
    <row r="3" spans="1:6" ht="15.75" x14ac:dyDescent="0.25">
      <c r="A3" s="42">
        <v>1</v>
      </c>
      <c r="B3" s="18">
        <v>22567256.215999998</v>
      </c>
      <c r="C3" s="18">
        <v>23718257.920000002</v>
      </c>
      <c r="D3" s="18">
        <v>25726988.52</v>
      </c>
      <c r="E3" s="18">
        <v>21383235.272000007</v>
      </c>
      <c r="F3" s="18">
        <v>21383235.272000007</v>
      </c>
    </row>
    <row r="4" spans="1:6" ht="15.75" x14ac:dyDescent="0.25">
      <c r="A4" s="42">
        <v>2</v>
      </c>
      <c r="B4" s="18">
        <v>23420438.151999995</v>
      </c>
      <c r="C4" s="18">
        <v>23452361.048</v>
      </c>
      <c r="D4" s="18">
        <v>23595416.392000005</v>
      </c>
      <c r="E4" s="18">
        <v>23369011.471999992</v>
      </c>
      <c r="F4" s="18">
        <v>23369011.471999992</v>
      </c>
    </row>
    <row r="5" spans="1:6" ht="15.75" x14ac:dyDescent="0.25">
      <c r="A5" s="42">
        <v>3</v>
      </c>
      <c r="B5" s="18">
        <v>21625341.699999999</v>
      </c>
      <c r="C5" s="18">
        <v>22686861.579199996</v>
      </c>
      <c r="D5" s="18">
        <v>23221913.432000011</v>
      </c>
      <c r="E5" s="18">
        <v>20658324.559999991</v>
      </c>
      <c r="F5" s="18">
        <v>20658324.559999991</v>
      </c>
    </row>
    <row r="6" spans="1:6" ht="15.75" x14ac:dyDescent="0.25">
      <c r="A6" s="42">
        <v>4</v>
      </c>
      <c r="B6" s="18">
        <v>23812488.471999999</v>
      </c>
      <c r="C6" s="18">
        <v>24934535.199999996</v>
      </c>
      <c r="D6" s="18">
        <v>23994465.52</v>
      </c>
      <c r="E6" s="18">
        <v>23414288.264000002</v>
      </c>
      <c r="F6" s="18">
        <v>23414288.264000002</v>
      </c>
    </row>
    <row r="7" spans="1:6" ht="15.75" x14ac:dyDescent="0.25">
      <c r="A7" s="42">
        <v>5</v>
      </c>
      <c r="B7" s="18">
        <v>26978630.167999983</v>
      </c>
      <c r="C7" s="18">
        <v>27274019.976000007</v>
      </c>
      <c r="D7" s="18">
        <v>24348237.368000001</v>
      </c>
      <c r="E7" s="18">
        <v>23798220.599999998</v>
      </c>
      <c r="F7" s="18">
        <v>23798220.599999998</v>
      </c>
    </row>
    <row r="8" spans="1:6" ht="15.75" x14ac:dyDescent="0.25">
      <c r="A8" s="42">
        <v>6</v>
      </c>
      <c r="B8" s="18">
        <v>25901645.223999999</v>
      </c>
      <c r="C8" s="18">
        <v>24409353.584000006</v>
      </c>
      <c r="D8" s="18">
        <v>23370764.111999996</v>
      </c>
      <c r="E8" s="18">
        <v>25703679.503999997</v>
      </c>
      <c r="F8" s="18">
        <v>25703679.503999997</v>
      </c>
    </row>
    <row r="9" spans="1:6" ht="15.75" x14ac:dyDescent="0.25">
      <c r="A9" s="42">
        <v>7</v>
      </c>
      <c r="B9" s="18">
        <v>22949801.759999998</v>
      </c>
      <c r="C9" s="18">
        <v>23852582.799999997</v>
      </c>
      <c r="D9" s="18">
        <v>21973444.831999995</v>
      </c>
      <c r="E9" s="18">
        <v>18556039.552000005</v>
      </c>
      <c r="F9" s="18">
        <v>18556039.552000005</v>
      </c>
    </row>
    <row r="10" spans="1:6" ht="15.75" x14ac:dyDescent="0.25">
      <c r="A10" s="42">
        <v>8</v>
      </c>
      <c r="B10" s="18">
        <v>23457312.649999999</v>
      </c>
      <c r="C10" s="18">
        <v>23441135.967999995</v>
      </c>
      <c r="D10" s="18">
        <v>22778253.584000006</v>
      </c>
      <c r="E10" s="18">
        <v>20061147.615999997</v>
      </c>
      <c r="F10" s="18">
        <v>20061147.615999997</v>
      </c>
    </row>
    <row r="11" spans="1:6" ht="15.75" x14ac:dyDescent="0.25">
      <c r="A11" s="42">
        <v>9</v>
      </c>
      <c r="B11" s="18">
        <v>23007013.184</v>
      </c>
      <c r="C11" s="18">
        <v>22751771.327999998</v>
      </c>
      <c r="D11" s="18">
        <v>24624619.496000011</v>
      </c>
      <c r="E11" s="18">
        <v>22518592.687999986</v>
      </c>
      <c r="F11" s="18">
        <v>22518592.687999986</v>
      </c>
    </row>
    <row r="12" spans="1:6" ht="15.75" x14ac:dyDescent="0.25">
      <c r="A12" s="42">
        <v>10</v>
      </c>
      <c r="B12" s="18">
        <v>22742761.087999996</v>
      </c>
      <c r="C12" s="18">
        <v>23852582.799999997</v>
      </c>
      <c r="D12" s="18">
        <v>24654370.176000006</v>
      </c>
      <c r="E12" s="18">
        <v>25094944.103999987</v>
      </c>
      <c r="F12" s="18">
        <v>25094944.103999987</v>
      </c>
    </row>
    <row r="13" spans="1:6" ht="15.75" x14ac:dyDescent="0.25">
      <c r="A13" s="42">
        <v>11</v>
      </c>
      <c r="B13" s="18">
        <v>25456619.983999997</v>
      </c>
      <c r="C13" s="18">
        <v>22815692.079999991</v>
      </c>
      <c r="D13" s="18">
        <v>25043529.879999999</v>
      </c>
      <c r="E13" s="18">
        <v>23465166.680000011</v>
      </c>
      <c r="F13" s="18">
        <v>23465166.680000011</v>
      </c>
    </row>
    <row r="14" spans="1:6" ht="15.75" x14ac:dyDescent="0.25">
      <c r="A14" s="42">
        <v>12</v>
      </c>
      <c r="B14" s="18">
        <v>24601645.223999999</v>
      </c>
      <c r="C14" s="18">
        <v>23287769.416000001</v>
      </c>
      <c r="D14" s="18">
        <v>27298992.328000002</v>
      </c>
      <c r="E14" s="18">
        <v>23458005.864</v>
      </c>
      <c r="F14" s="18">
        <v>23458005.864</v>
      </c>
    </row>
    <row r="15" spans="1:6" ht="15.75" x14ac:dyDescent="0.25">
      <c r="A15" s="42">
        <v>13</v>
      </c>
      <c r="B15" s="18">
        <v>23110877.312000003</v>
      </c>
      <c r="C15" s="18">
        <v>22254695.648000006</v>
      </c>
      <c r="D15" s="18">
        <v>25825940.600000001</v>
      </c>
      <c r="E15" s="18">
        <v>20598511.239999998</v>
      </c>
      <c r="F15" s="18">
        <v>20598511.239999998</v>
      </c>
    </row>
    <row r="16" spans="1:6" ht="15.75" x14ac:dyDescent="0.25">
      <c r="A16" s="42">
        <v>14</v>
      </c>
      <c r="B16" s="18">
        <v>22035483.85600001</v>
      </c>
      <c r="C16" s="18">
        <v>23862345.607999995</v>
      </c>
      <c r="D16" s="18">
        <v>23610307.936000004</v>
      </c>
      <c r="E16" s="18">
        <v>23319885.640000015</v>
      </c>
      <c r="F16" s="18">
        <v>23319885.640000015</v>
      </c>
    </row>
    <row r="20" spans="1:4" ht="15.75" thickBot="1" x14ac:dyDescent="0.3"/>
    <row r="21" spans="1:4" ht="26.25" thickBot="1" x14ac:dyDescent="0.3">
      <c r="A21" s="44" t="s">
        <v>207</v>
      </c>
      <c r="B21" s="45" t="s">
        <v>208</v>
      </c>
      <c r="C21" s="45" t="s">
        <v>209</v>
      </c>
      <c r="D21" s="46" t="s">
        <v>210</v>
      </c>
    </row>
    <row r="22" spans="1:4" ht="26.25" thickBot="1" x14ac:dyDescent="0.3">
      <c r="A22" s="47" t="s">
        <v>211</v>
      </c>
      <c r="B22" s="48" t="s">
        <v>212</v>
      </c>
      <c r="C22" s="48" t="s">
        <v>213</v>
      </c>
      <c r="D22" s="48" t="s">
        <v>214</v>
      </c>
    </row>
    <row r="23" spans="1:4" ht="26.25" thickBot="1" x14ac:dyDescent="0.3">
      <c r="A23" s="47" t="s">
        <v>215</v>
      </c>
      <c r="B23" s="48" t="s">
        <v>216</v>
      </c>
      <c r="C23" s="48" t="s">
        <v>217</v>
      </c>
      <c r="D23" s="49" t="s">
        <v>218</v>
      </c>
    </row>
    <row r="24" spans="1:4" ht="26.25" thickBot="1" x14ac:dyDescent="0.3">
      <c r="A24" s="47" t="s">
        <v>219</v>
      </c>
      <c r="B24" s="48" t="s">
        <v>220</v>
      </c>
      <c r="C24" s="48" t="s">
        <v>221</v>
      </c>
      <c r="D24" s="48" t="s">
        <v>222</v>
      </c>
    </row>
    <row r="25" spans="1:4" ht="39" thickBot="1" x14ac:dyDescent="0.3">
      <c r="A25" s="47" t="s">
        <v>223</v>
      </c>
      <c r="B25" s="48" t="s">
        <v>224</v>
      </c>
      <c r="C25" s="48" t="s">
        <v>225</v>
      </c>
      <c r="D25" s="49" t="s">
        <v>226</v>
      </c>
    </row>
    <row r="26" spans="1:4" ht="26.25" thickBot="1" x14ac:dyDescent="0.3">
      <c r="A26" s="47" t="s">
        <v>227</v>
      </c>
      <c r="B26" s="48" t="s">
        <v>228</v>
      </c>
      <c r="C26" s="48" t="s">
        <v>229</v>
      </c>
      <c r="D26" s="48" t="s">
        <v>230</v>
      </c>
    </row>
    <row r="27" spans="1:4" ht="26.25" thickBot="1" x14ac:dyDescent="0.3">
      <c r="A27" s="47" t="s">
        <v>231</v>
      </c>
      <c r="B27" s="48" t="s">
        <v>232</v>
      </c>
      <c r="C27" s="48" t="s">
        <v>233</v>
      </c>
      <c r="D27" s="49" t="s">
        <v>234</v>
      </c>
    </row>
    <row r="28" spans="1:4" ht="26.25" thickBot="1" x14ac:dyDescent="0.3">
      <c r="A28" s="47" t="s">
        <v>235</v>
      </c>
      <c r="B28" s="48" t="s">
        <v>236</v>
      </c>
      <c r="C28" s="48" t="s">
        <v>237</v>
      </c>
      <c r="D28" s="48" t="s">
        <v>238</v>
      </c>
    </row>
    <row r="29" spans="1:4" ht="26.25" thickBot="1" x14ac:dyDescent="0.3">
      <c r="A29" s="47" t="s">
        <v>239</v>
      </c>
      <c r="B29" s="48" t="s">
        <v>240</v>
      </c>
      <c r="C29" s="48" t="s">
        <v>241</v>
      </c>
      <c r="D29" s="49" t="s">
        <v>242</v>
      </c>
    </row>
    <row r="30" spans="1:4" ht="26.25" thickBot="1" x14ac:dyDescent="0.3">
      <c r="A30" s="47" t="s">
        <v>243</v>
      </c>
      <c r="B30" s="48" t="s">
        <v>244</v>
      </c>
      <c r="C30" s="48" t="s">
        <v>245</v>
      </c>
      <c r="D30" s="48" t="s">
        <v>246</v>
      </c>
    </row>
    <row r="31" spans="1:4" ht="39" thickBot="1" x14ac:dyDescent="0.3">
      <c r="A31" s="47" t="s">
        <v>247</v>
      </c>
      <c r="B31" s="48" t="s">
        <v>248</v>
      </c>
      <c r="C31" s="48" t="s">
        <v>248</v>
      </c>
      <c r="D31" s="49" t="s">
        <v>248</v>
      </c>
    </row>
    <row r="32" spans="1:4" ht="26.25" thickBot="1" x14ac:dyDescent="0.3">
      <c r="A32" s="47" t="s">
        <v>249</v>
      </c>
      <c r="B32" s="48" t="s">
        <v>250</v>
      </c>
      <c r="C32" s="48" t="s">
        <v>251</v>
      </c>
      <c r="D32" s="48" t="s">
        <v>252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2020a</vt:lpstr>
      <vt:lpstr>2021a</vt:lpstr>
      <vt:lpstr>2022a</vt:lpstr>
      <vt:lpstr>2023a</vt:lpstr>
      <vt:lpstr>hasil VLD 2023</vt:lpstr>
      <vt:lpstr>2024a</vt:lpstr>
      <vt:lpstr>hasil VLD 2024</vt:lpstr>
      <vt:lpstr>VLD(x,y,z)2023</vt:lpstr>
      <vt:lpstr>VLD(x,y,z)2024</vt:lpstr>
      <vt:lpstr>RuleBase 2023</vt:lpstr>
      <vt:lpstr>RuleBase 2024</vt:lpstr>
      <vt:lpstr>Konsumsi beban listrik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cp:lastPrinted>2014-11-06T14:55:45Z</cp:lastPrinted>
  <dcterms:created xsi:type="dcterms:W3CDTF">2014-06-19T02:18:08Z</dcterms:created>
  <dcterms:modified xsi:type="dcterms:W3CDTF">2026-06-17T00:30:46Z</dcterms:modified>
</cp:coreProperties>
</file>