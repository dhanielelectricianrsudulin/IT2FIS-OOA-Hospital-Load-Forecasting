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3 ITS\project paper6\Paper 3\INASS REVISI\INASS IT2FLS-OOA\"/>
    </mc:Choice>
  </mc:AlternateContent>
  <xr:revisionPtr revIDLastSave="0" documentId="13_ncr:1_{3CDFB126-36FB-4E60-ADFD-1D8CC21E7CE7}" xr6:coauthVersionLast="47" xr6:coauthVersionMax="47" xr10:uidLastSave="{00000000-0000-0000-0000-000000000000}"/>
  <bookViews>
    <workbookView xWindow="-108" yWindow="-108" windowWidth="23256" windowHeight="12456" firstSheet="11" activeTab="14" xr2:uid="{00000000-000D-0000-FFFF-FFFF00000000}"/>
  </bookViews>
  <sheets>
    <sheet name="2020a" sheetId="13" r:id="rId1"/>
    <sheet name="2021a" sheetId="1" r:id="rId2"/>
    <sheet name="2022a" sheetId="4" r:id="rId3"/>
    <sheet name="2023a" sheetId="5" r:id="rId4"/>
    <sheet name="Result VLD 2023" sheetId="24" r:id="rId5"/>
    <sheet name="2024a" sheetId="21" r:id="rId6"/>
    <sheet name="Result VLD 2024" sheetId="25" r:id="rId7"/>
    <sheet name="VLD(x,y,z)2022" sheetId="29" r:id="rId8"/>
    <sheet name="VLD(x,y,z)2023" sheetId="14" r:id="rId9"/>
    <sheet name="VLD(x,y,z)2024" sheetId="22" r:id="rId10"/>
    <sheet name="RuleBase 2022" sheetId="30" r:id="rId11"/>
    <sheet name="RuleBase 2023" sheetId="15" r:id="rId12"/>
    <sheet name="RuleBase 2024" sheetId="23" r:id="rId13"/>
    <sheet name="Load consumption" sheetId="6" r:id="rId14"/>
    <sheet name="Result Performance 2023" sheetId="27" r:id="rId15"/>
    <sheet name="Result Performance 2024" sheetId="28" r:id="rId16"/>
    <sheet name="Avarage" sheetId="2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7" l="1"/>
  <c r="V193" i="21" l="1"/>
  <c r="V194" i="21"/>
  <c r="V195" i="21"/>
  <c r="V196" i="21"/>
  <c r="V197" i="21"/>
  <c r="V198" i="21"/>
  <c r="V199" i="21"/>
  <c r="V183" i="21" s="1"/>
  <c r="V200" i="21"/>
  <c r="V184" i="21" s="1"/>
  <c r="V201" i="21"/>
  <c r="V202" i="21"/>
  <c r="V203" i="21"/>
  <c r="V204" i="21"/>
  <c r="V205" i="21"/>
  <c r="V192" i="21"/>
  <c r="U193" i="21"/>
  <c r="U194" i="21"/>
  <c r="U178" i="21" s="1"/>
  <c r="U195" i="21"/>
  <c r="U196" i="21"/>
  <c r="U197" i="21"/>
  <c r="U198" i="21"/>
  <c r="U199" i="21"/>
  <c r="U200" i="21"/>
  <c r="U184" i="21" s="1"/>
  <c r="U201" i="21"/>
  <c r="U185" i="21" s="1"/>
  <c r="U202" i="21"/>
  <c r="U203" i="21"/>
  <c r="U204" i="21"/>
  <c r="U205" i="21"/>
  <c r="U192" i="21"/>
  <c r="U176" i="21" s="1"/>
  <c r="T193" i="21"/>
  <c r="T194" i="21"/>
  <c r="T195" i="21"/>
  <c r="T196" i="21"/>
  <c r="T197" i="21"/>
  <c r="T198" i="21"/>
  <c r="T182" i="21" s="1"/>
  <c r="T199" i="21"/>
  <c r="T183" i="21" s="1"/>
  <c r="T200" i="21"/>
  <c r="T201" i="21"/>
  <c r="T202" i="21"/>
  <c r="T203" i="21"/>
  <c r="T204" i="21"/>
  <c r="T205" i="21"/>
  <c r="T192" i="21"/>
  <c r="T176" i="21" s="1"/>
  <c r="S194" i="21"/>
  <c r="S196" i="21"/>
  <c r="S180" i="21" s="1"/>
  <c r="S197" i="21"/>
  <c r="S198" i="21"/>
  <c r="S182" i="21" s="1"/>
  <c r="S199" i="21"/>
  <c r="S202" i="21"/>
  <c r="S205" i="21"/>
  <c r="S192" i="21"/>
  <c r="R193" i="21"/>
  <c r="R194" i="21"/>
  <c r="R195" i="21"/>
  <c r="R196" i="21"/>
  <c r="R197" i="21"/>
  <c r="R198" i="21"/>
  <c r="R199" i="21"/>
  <c r="R200" i="21"/>
  <c r="R184" i="21" s="1"/>
  <c r="R201" i="21"/>
  <c r="R202" i="21"/>
  <c r="R203" i="21"/>
  <c r="R204" i="21"/>
  <c r="R205" i="21"/>
  <c r="R192" i="21"/>
  <c r="Q193" i="21"/>
  <c r="Q194" i="21"/>
  <c r="Q195" i="21"/>
  <c r="Q196" i="21"/>
  <c r="Q197" i="21"/>
  <c r="Q198" i="21"/>
  <c r="Q199" i="21"/>
  <c r="Q183" i="21" s="1"/>
  <c r="Q200" i="21"/>
  <c r="Q201" i="21"/>
  <c r="Q202" i="21"/>
  <c r="Q203" i="21"/>
  <c r="Q204" i="21"/>
  <c r="Q205" i="21"/>
  <c r="Q192" i="21"/>
  <c r="P193" i="21"/>
  <c r="P194" i="21"/>
  <c r="P178" i="21" s="1"/>
  <c r="P195" i="21"/>
  <c r="P196" i="21"/>
  <c r="P180" i="21" s="1"/>
  <c r="P197" i="21"/>
  <c r="P198" i="21"/>
  <c r="P182" i="21" s="1"/>
  <c r="P199" i="21"/>
  <c r="P200" i="21"/>
  <c r="P184" i="21" s="1"/>
  <c r="P201" i="21"/>
  <c r="P185" i="21" s="1"/>
  <c r="P202" i="21"/>
  <c r="P186" i="21" s="1"/>
  <c r="P203" i="21"/>
  <c r="P204" i="21"/>
  <c r="P205" i="21"/>
  <c r="P189" i="21" s="1"/>
  <c r="P192" i="21"/>
  <c r="P176" i="21" s="1"/>
  <c r="O193" i="21"/>
  <c r="O194" i="21"/>
  <c r="O195" i="21"/>
  <c r="O196" i="21"/>
  <c r="O197" i="21"/>
  <c r="O198" i="21"/>
  <c r="O199" i="21"/>
  <c r="O183" i="21" s="1"/>
  <c r="O200" i="21"/>
  <c r="O184" i="21" s="1"/>
  <c r="O201" i="21"/>
  <c r="O202" i="21"/>
  <c r="O203" i="21"/>
  <c r="O204" i="21"/>
  <c r="O205" i="21"/>
  <c r="O192" i="21"/>
  <c r="N193" i="21"/>
  <c r="N194" i="21"/>
  <c r="N178" i="21" s="1"/>
  <c r="N195" i="21"/>
  <c r="N196" i="21"/>
  <c r="N197" i="21"/>
  <c r="N198" i="21"/>
  <c r="N199" i="21"/>
  <c r="N200" i="21"/>
  <c r="N184" i="21" s="1"/>
  <c r="N201" i="21"/>
  <c r="N185" i="21" s="1"/>
  <c r="N202" i="21"/>
  <c r="N186" i="21" s="1"/>
  <c r="N203" i="21"/>
  <c r="N204" i="21"/>
  <c r="N205" i="21"/>
  <c r="N192" i="21"/>
  <c r="U11" i="26"/>
  <c r="T11" i="26"/>
  <c r="S11" i="26"/>
  <c r="Q11" i="26"/>
  <c r="P11" i="26"/>
  <c r="O11" i="26"/>
  <c r="N11" i="26"/>
  <c r="N12" i="26" s="1"/>
  <c r="M11" i="26"/>
  <c r="U10" i="26"/>
  <c r="T10" i="26"/>
  <c r="S10" i="26"/>
  <c r="R10" i="26"/>
  <c r="Q10" i="26"/>
  <c r="P10" i="26"/>
  <c r="O10" i="26"/>
  <c r="O12" i="26" s="1"/>
  <c r="N10" i="26"/>
  <c r="M10" i="26"/>
  <c r="M12" i="26" s="1"/>
  <c r="L11" i="26"/>
  <c r="K11" i="26"/>
  <c r="J11" i="26"/>
  <c r="H11" i="26"/>
  <c r="G11" i="26"/>
  <c r="F11" i="26"/>
  <c r="E11" i="26"/>
  <c r="D11" i="26"/>
  <c r="D12" i="26" s="1"/>
  <c r="L10" i="26"/>
  <c r="K10" i="26"/>
  <c r="J10" i="26"/>
  <c r="I10" i="26"/>
  <c r="H10" i="26"/>
  <c r="G10" i="26"/>
  <c r="F10" i="26"/>
  <c r="E10" i="26"/>
  <c r="D10" i="26"/>
  <c r="M7" i="26"/>
  <c r="N7" i="26"/>
  <c r="O7" i="26"/>
  <c r="P7" i="26"/>
  <c r="Q7" i="26"/>
  <c r="S7" i="26"/>
  <c r="T7" i="26"/>
  <c r="U7" i="26"/>
  <c r="U6" i="26"/>
  <c r="T6" i="26"/>
  <c r="S6" i="26"/>
  <c r="Q6" i="26"/>
  <c r="P6" i="26"/>
  <c r="O6" i="26"/>
  <c r="N6" i="26"/>
  <c r="M6" i="26"/>
  <c r="U5" i="26"/>
  <c r="T5" i="26"/>
  <c r="S5" i="26"/>
  <c r="R5" i="26"/>
  <c r="Q5" i="26"/>
  <c r="P5" i="26"/>
  <c r="O5" i="26"/>
  <c r="N5" i="26"/>
  <c r="M5" i="26"/>
  <c r="L6" i="26"/>
  <c r="K6" i="26"/>
  <c r="J6" i="26"/>
  <c r="H6" i="26"/>
  <c r="E6" i="26"/>
  <c r="E7" i="26" s="1"/>
  <c r="G6" i="26"/>
  <c r="F6" i="26"/>
  <c r="D6" i="26"/>
  <c r="AB6" i="28"/>
  <c r="AB7" i="28"/>
  <c r="AB8" i="28"/>
  <c r="AB9" i="28"/>
  <c r="AB10" i="28"/>
  <c r="AB11" i="28"/>
  <c r="AB12" i="28"/>
  <c r="AB13" i="28"/>
  <c r="AB14" i="28"/>
  <c r="AB15" i="28"/>
  <c r="AB16" i="28"/>
  <c r="AB17" i="28"/>
  <c r="AB18" i="28"/>
  <c r="AB5" i="28"/>
  <c r="AA6" i="28"/>
  <c r="AA7" i="28"/>
  <c r="AA8" i="28"/>
  <c r="AA9" i="28"/>
  <c r="AA10" i="28"/>
  <c r="AA11" i="28"/>
  <c r="AA12" i="28"/>
  <c r="AA13" i="28"/>
  <c r="AA14" i="28"/>
  <c r="AA15" i="28"/>
  <c r="AA16" i="28"/>
  <c r="AA17" i="28"/>
  <c r="AA18" i="28"/>
  <c r="AA5" i="28"/>
  <c r="Z6" i="28"/>
  <c r="Z7" i="28"/>
  <c r="Z8" i="28"/>
  <c r="Z9" i="28"/>
  <c r="Z10" i="28"/>
  <c r="Z11" i="28"/>
  <c r="Z12" i="28"/>
  <c r="Z13" i="28"/>
  <c r="Z14" i="28"/>
  <c r="Z15" i="28"/>
  <c r="Z16" i="28"/>
  <c r="Z17" i="28"/>
  <c r="Z18" i="28"/>
  <c r="Z5" i="28"/>
  <c r="V20" i="28"/>
  <c r="V21" i="28" a="1"/>
  <c r="V21" i="28"/>
  <c r="V22" i="28"/>
  <c r="Y6" i="28"/>
  <c r="Y7" i="28"/>
  <c r="Y8" i="28"/>
  <c r="Y9" i="28"/>
  <c r="Y10" i="28"/>
  <c r="Y11" i="28"/>
  <c r="Y12" i="28"/>
  <c r="Y13" i="28"/>
  <c r="Y14" i="28"/>
  <c r="Y15" i="28"/>
  <c r="Y16" i="28"/>
  <c r="Y17" i="28"/>
  <c r="Y18" i="28"/>
  <c r="Y5" i="28"/>
  <c r="X6" i="28"/>
  <c r="X7" i="28"/>
  <c r="X8" i="28"/>
  <c r="X9" i="28"/>
  <c r="X10" i="28"/>
  <c r="X11" i="28"/>
  <c r="X12" i="28"/>
  <c r="X13" i="28"/>
  <c r="X14" i="28"/>
  <c r="X15" i="28"/>
  <c r="X16" i="28"/>
  <c r="X17" i="28"/>
  <c r="X18" i="28"/>
  <c r="X5" i="28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5" i="28"/>
  <c r="V6" i="28"/>
  <c r="V7" i="28"/>
  <c r="V8" i="28"/>
  <c r="V9" i="28"/>
  <c r="V10" i="28"/>
  <c r="V11" i="28"/>
  <c r="V12" i="28"/>
  <c r="V13" i="28"/>
  <c r="V14" i="28"/>
  <c r="V15" i="28"/>
  <c r="V16" i="28"/>
  <c r="V17" i="28"/>
  <c r="V18" i="28"/>
  <c r="V5" i="28"/>
  <c r="S5" i="28"/>
  <c r="U6" i="28"/>
  <c r="U7" i="28"/>
  <c r="U8" i="28"/>
  <c r="U9" i="28"/>
  <c r="U10" i="28"/>
  <c r="U11" i="28"/>
  <c r="U12" i="28"/>
  <c r="U13" i="28"/>
  <c r="U14" i="28"/>
  <c r="U15" i="28"/>
  <c r="U16" i="28"/>
  <c r="U17" i="28"/>
  <c r="U18" i="28"/>
  <c r="U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5" i="28"/>
  <c r="AB22" i="28"/>
  <c r="L5" i="26"/>
  <c r="K5" i="26"/>
  <c r="J5" i="26"/>
  <c r="I5" i="26"/>
  <c r="H5" i="26"/>
  <c r="G5" i="26"/>
  <c r="F5" i="26"/>
  <c r="E5" i="26"/>
  <c r="D5" i="26"/>
  <c r="F12" i="26"/>
  <c r="E12" i="26"/>
  <c r="Q176" i="21"/>
  <c r="R176" i="21"/>
  <c r="S176" i="21"/>
  <c r="V176" i="21"/>
  <c r="Q177" i="21"/>
  <c r="R177" i="21"/>
  <c r="T177" i="21"/>
  <c r="U177" i="21"/>
  <c r="V177" i="21"/>
  <c r="O178" i="21"/>
  <c r="Q178" i="21"/>
  <c r="R178" i="21"/>
  <c r="S178" i="21"/>
  <c r="T178" i="21"/>
  <c r="V178" i="21"/>
  <c r="O179" i="21"/>
  <c r="P179" i="21"/>
  <c r="Q179" i="21"/>
  <c r="R179" i="21"/>
  <c r="T179" i="21"/>
  <c r="U179" i="21"/>
  <c r="V179" i="21"/>
  <c r="O180" i="21"/>
  <c r="Q180" i="21"/>
  <c r="R180" i="21"/>
  <c r="T180" i="21"/>
  <c r="U180" i="21"/>
  <c r="V180" i="21"/>
  <c r="O181" i="21"/>
  <c r="P181" i="21"/>
  <c r="Q181" i="21"/>
  <c r="R181" i="21"/>
  <c r="S181" i="21"/>
  <c r="T181" i="21"/>
  <c r="U181" i="21"/>
  <c r="V181" i="21"/>
  <c r="O182" i="21"/>
  <c r="Q182" i="21"/>
  <c r="R182" i="21"/>
  <c r="U182" i="21"/>
  <c r="V182" i="21"/>
  <c r="P183" i="21"/>
  <c r="R183" i="21"/>
  <c r="S183" i="21"/>
  <c r="U183" i="21"/>
  <c r="Q184" i="21"/>
  <c r="T184" i="21"/>
  <c r="O185" i="21"/>
  <c r="Q185" i="21"/>
  <c r="R185" i="21"/>
  <c r="T185" i="21"/>
  <c r="V185" i="21"/>
  <c r="O186" i="21"/>
  <c r="Q186" i="21"/>
  <c r="R186" i="21"/>
  <c r="S186" i="21"/>
  <c r="T186" i="21"/>
  <c r="U186" i="21"/>
  <c r="V186" i="21"/>
  <c r="O187" i="21"/>
  <c r="P187" i="21"/>
  <c r="Q187" i="21"/>
  <c r="R187" i="21"/>
  <c r="T187" i="21"/>
  <c r="U187" i="21"/>
  <c r="V187" i="21"/>
  <c r="Q188" i="21"/>
  <c r="R188" i="21"/>
  <c r="T188" i="21"/>
  <c r="U188" i="21"/>
  <c r="V188" i="21"/>
  <c r="O189" i="21"/>
  <c r="Q189" i="21"/>
  <c r="R189" i="21"/>
  <c r="S189" i="21"/>
  <c r="T189" i="21"/>
  <c r="U189" i="21"/>
  <c r="V189" i="21"/>
  <c r="N179" i="21"/>
  <c r="N180" i="21"/>
  <c r="N181" i="21"/>
  <c r="N182" i="21"/>
  <c r="N183" i="21"/>
  <c r="N187" i="21"/>
  <c r="N189" i="21"/>
  <c r="Q63" i="21"/>
  <c r="Q46" i="21"/>
  <c r="Q48" i="21"/>
  <c r="Q50" i="21"/>
  <c r="Q54" i="21"/>
  <c r="Q57" i="21"/>
  <c r="Q44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72" i="21"/>
  <c r="K159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40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21" i="21"/>
  <c r="J160" i="21"/>
  <c r="J161" i="21"/>
  <c r="J162" i="21"/>
  <c r="J163" i="21"/>
  <c r="J164" i="21"/>
  <c r="J165" i="21"/>
  <c r="J166" i="21"/>
  <c r="J167" i="21"/>
  <c r="J168" i="21"/>
  <c r="J169" i="21"/>
  <c r="J170" i="21"/>
  <c r="J171" i="21"/>
  <c r="J172" i="21"/>
  <c r="J159" i="21"/>
  <c r="J141" i="21"/>
  <c r="J142" i="21"/>
  <c r="J143" i="21"/>
  <c r="J144" i="21"/>
  <c r="J145" i="21"/>
  <c r="J146" i="21"/>
  <c r="J147" i="21"/>
  <c r="J148" i="21"/>
  <c r="J149" i="21"/>
  <c r="J150" i="21"/>
  <c r="J151" i="21"/>
  <c r="J152" i="21"/>
  <c r="J153" i="21"/>
  <c r="J140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21" i="21"/>
  <c r="V165" i="21"/>
  <c r="V161" i="21"/>
  <c r="V144" i="21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5" i="27"/>
  <c r="AA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5" i="27"/>
  <c r="Z6" i="27"/>
  <c r="Z7" i="27"/>
  <c r="Z8" i="27"/>
  <c r="Z9" i="27"/>
  <c r="Z10" i="27"/>
  <c r="Z11" i="27"/>
  <c r="Z12" i="27"/>
  <c r="Z13" i="27"/>
  <c r="Z14" i="27"/>
  <c r="Z15" i="27"/>
  <c r="Z16" i="27"/>
  <c r="Z17" i="27"/>
  <c r="Z18" i="27"/>
  <c r="Z5" i="27"/>
  <c r="Y6" i="27"/>
  <c r="Y19" i="27" s="1"/>
  <c r="Y7" i="27"/>
  <c r="Y8" i="27"/>
  <c r="Y9" i="27"/>
  <c r="Y10" i="27"/>
  <c r="Y11" i="27"/>
  <c r="Y12" i="27"/>
  <c r="Y13" i="27"/>
  <c r="Y14" i="27"/>
  <c r="Y15" i="27"/>
  <c r="Y16" i="27"/>
  <c r="Y17" i="27"/>
  <c r="Y18" i="27"/>
  <c r="Y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5" i="27"/>
  <c r="W6" i="27"/>
  <c r="W7" i="27"/>
  <c r="W8" i="27"/>
  <c r="W9" i="27"/>
  <c r="W10" i="27"/>
  <c r="W11" i="27"/>
  <c r="W12" i="27"/>
  <c r="W13" i="27"/>
  <c r="W14" i="27"/>
  <c r="W15" i="27"/>
  <c r="W16" i="27"/>
  <c r="W17" i="27"/>
  <c r="W18" i="27"/>
  <c r="W5" i="27"/>
  <c r="V6" i="27"/>
  <c r="V7" i="27"/>
  <c r="V8" i="27"/>
  <c r="V9" i="27"/>
  <c r="V10" i="27"/>
  <c r="V11" i="27"/>
  <c r="V12" i="27"/>
  <c r="V13" i="27"/>
  <c r="V14" i="27"/>
  <c r="V15" i="27"/>
  <c r="V16" i="27"/>
  <c r="V17" i="27"/>
  <c r="V18" i="27"/>
  <c r="V5" i="27"/>
  <c r="U6" i="27"/>
  <c r="U7" i="27"/>
  <c r="U8" i="27"/>
  <c r="U9" i="27"/>
  <c r="U10" i="27"/>
  <c r="U11" i="27"/>
  <c r="U12" i="27"/>
  <c r="U13" i="27"/>
  <c r="U14" i="27"/>
  <c r="U15" i="27"/>
  <c r="U16" i="27"/>
  <c r="U17" i="27"/>
  <c r="U18" i="27"/>
  <c r="U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5" i="27"/>
  <c r="J172" i="5"/>
  <c r="K172" i="5" s="1"/>
  <c r="J171" i="5"/>
  <c r="K171" i="5" s="1"/>
  <c r="K170" i="5"/>
  <c r="J170" i="5"/>
  <c r="K169" i="5"/>
  <c r="J169" i="5"/>
  <c r="K168" i="5"/>
  <c r="J168" i="5"/>
  <c r="J167" i="5"/>
  <c r="K167" i="5" s="1"/>
  <c r="K166" i="5"/>
  <c r="J166" i="5"/>
  <c r="K165" i="5"/>
  <c r="J165" i="5"/>
  <c r="K164" i="5"/>
  <c r="J164" i="5"/>
  <c r="J163" i="5"/>
  <c r="K163" i="5" s="1"/>
  <c r="K162" i="5"/>
  <c r="J162" i="5"/>
  <c r="K161" i="5"/>
  <c r="J161" i="5"/>
  <c r="K160" i="5"/>
  <c r="J160" i="5"/>
  <c r="J159" i="5"/>
  <c r="K159" i="5" s="1"/>
  <c r="K173" i="5" s="1"/>
  <c r="J153" i="5"/>
  <c r="K153" i="5" s="1"/>
  <c r="J152" i="5"/>
  <c r="K152" i="5" s="1"/>
  <c r="J151" i="5"/>
  <c r="K151" i="5" s="1"/>
  <c r="J150" i="5"/>
  <c r="K150" i="5" s="1"/>
  <c r="J149" i="5"/>
  <c r="K149" i="5" s="1"/>
  <c r="K148" i="5"/>
  <c r="J148" i="5"/>
  <c r="K147" i="5"/>
  <c r="J147" i="5"/>
  <c r="J146" i="5"/>
  <c r="K146" i="5" s="1"/>
  <c r="J145" i="5"/>
  <c r="K145" i="5" s="1"/>
  <c r="K144" i="5"/>
  <c r="J144" i="5"/>
  <c r="K143" i="5"/>
  <c r="J143" i="5"/>
  <c r="J142" i="5"/>
  <c r="K142" i="5" s="1"/>
  <c r="J141" i="5"/>
  <c r="K141" i="5" s="1"/>
  <c r="K140" i="5"/>
  <c r="J140" i="5"/>
  <c r="K135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21" i="5"/>
  <c r="Q94" i="5"/>
  <c r="Q91" i="5"/>
  <c r="Q89" i="5"/>
  <c r="Q83" i="5"/>
  <c r="Q75" i="5"/>
  <c r="Q70" i="5"/>
  <c r="Q18" i="5"/>
  <c r="Q13" i="5"/>
  <c r="Q8" i="5"/>
  <c r="Q7" i="5"/>
  <c r="Q37" i="5"/>
  <c r="Q34" i="5"/>
  <c r="Q32" i="5"/>
  <c r="Q27" i="5"/>
  <c r="Q26" i="5"/>
  <c r="Q51" i="5"/>
  <c r="Q56" i="5"/>
  <c r="Q109" i="5"/>
  <c r="Q111" i="5"/>
  <c r="Q114" i="5"/>
  <c r="AB20" i="28" l="1"/>
  <c r="Y22" i="28"/>
  <c r="Y19" i="28"/>
  <c r="Y21" i="28" a="1"/>
  <c r="Y21" i="28" s="1"/>
  <c r="AB19" i="28"/>
  <c r="AB21" i="28" a="1"/>
  <c r="AB21" i="28" s="1"/>
  <c r="V19" i="28"/>
  <c r="Y20" i="28"/>
  <c r="F7" i="26"/>
  <c r="D7" i="26"/>
  <c r="K173" i="21"/>
  <c r="K154" i="21"/>
  <c r="K135" i="21"/>
  <c r="V169" i="21"/>
  <c r="V171" i="21"/>
  <c r="V163" i="21"/>
  <c r="V142" i="21"/>
  <c r="V146" i="21"/>
  <c r="V162" i="21"/>
  <c r="V168" i="21"/>
  <c r="V160" i="21"/>
  <c r="V166" i="21"/>
  <c r="V167" i="21"/>
  <c r="V172" i="21"/>
  <c r="V159" i="21"/>
  <c r="S173" i="21"/>
  <c r="X173" i="21" a="1"/>
  <c r="X173" i="21" s="1"/>
  <c r="U173" i="21"/>
  <c r="V164" i="21"/>
  <c r="V170" i="21"/>
  <c r="V121" i="21"/>
  <c r="V152" i="21"/>
  <c r="V127" i="21"/>
  <c r="V141" i="21"/>
  <c r="V151" i="21"/>
  <c r="V148" i="21"/>
  <c r="V145" i="21"/>
  <c r="V149" i="21"/>
  <c r="V143" i="21"/>
  <c r="V153" i="21"/>
  <c r="V147" i="21"/>
  <c r="V140" i="21"/>
  <c r="X154" i="21" a="1"/>
  <c r="X154" i="21" s="1"/>
  <c r="U154" i="21"/>
  <c r="S154" i="21"/>
  <c r="V150" i="21"/>
  <c r="V129" i="21"/>
  <c r="U135" i="21"/>
  <c r="V126" i="21"/>
  <c r="V124" i="21"/>
  <c r="V133" i="21"/>
  <c r="V130" i="21"/>
  <c r="V128" i="21"/>
  <c r="V134" i="21"/>
  <c r="V132" i="21"/>
  <c r="V125" i="21"/>
  <c r="X135" i="21" a="1"/>
  <c r="X135" i="21" s="1"/>
  <c r="V122" i="21"/>
  <c r="V123" i="21"/>
  <c r="V131" i="21"/>
  <c r="S135" i="21"/>
  <c r="AB19" i="27"/>
  <c r="AB22" i="27"/>
  <c r="AB21" i="27" a="1"/>
  <c r="AB21" i="27" s="1"/>
  <c r="K154" i="5"/>
  <c r="Y22" i="27"/>
  <c r="Y20" i="27"/>
  <c r="V22" i="27"/>
  <c r="V19" i="27"/>
  <c r="V21" i="27" a="1"/>
  <c r="V21" i="27" s="1"/>
  <c r="Y21" i="27" a="1"/>
  <c r="Y21" i="27" s="1"/>
  <c r="AB20" i="27"/>
  <c r="V20" i="27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19" i="30"/>
  <c r="G81" i="29"/>
  <c r="F81" i="29"/>
  <c r="M80" i="29"/>
  <c r="L80" i="29"/>
  <c r="N79" i="29"/>
  <c r="M79" i="29"/>
  <c r="H78" i="29"/>
  <c r="G78" i="29"/>
  <c r="G76" i="29"/>
  <c r="F76" i="29"/>
  <c r="H75" i="29"/>
  <c r="G75" i="29"/>
  <c r="F74" i="29"/>
  <c r="E74" i="29"/>
  <c r="H73" i="29"/>
  <c r="G73" i="29"/>
  <c r="F72" i="29"/>
  <c r="E72" i="29"/>
  <c r="F71" i="29"/>
  <c r="E71" i="29"/>
  <c r="F70" i="29"/>
  <c r="E70" i="29"/>
  <c r="G69" i="29"/>
  <c r="F69" i="29"/>
  <c r="I68" i="29"/>
  <c r="H68" i="29"/>
  <c r="M60" i="29"/>
  <c r="L60" i="29"/>
  <c r="M59" i="29"/>
  <c r="N59" i="29"/>
  <c r="M58" i="29"/>
  <c r="L58" i="29"/>
  <c r="G56" i="29"/>
  <c r="F56" i="29"/>
  <c r="F54" i="29"/>
  <c r="E54" i="29"/>
  <c r="F50" i="29"/>
  <c r="E50" i="29"/>
  <c r="H49" i="29"/>
  <c r="G49" i="29"/>
  <c r="I48" i="29"/>
  <c r="H48" i="29"/>
  <c r="G47" i="29"/>
  <c r="F47" i="29"/>
  <c r="K39" i="29"/>
  <c r="J39" i="29"/>
  <c r="L38" i="29"/>
  <c r="K38" i="29"/>
  <c r="G37" i="29"/>
  <c r="F37" i="29"/>
  <c r="E36" i="29"/>
  <c r="D36" i="29"/>
  <c r="J35" i="29"/>
  <c r="I35" i="29"/>
  <c r="F34" i="29"/>
  <c r="E34" i="29"/>
  <c r="G33" i="29"/>
  <c r="F33" i="29"/>
  <c r="H32" i="29"/>
  <c r="G32" i="29"/>
  <c r="H31" i="29"/>
  <c r="G31" i="29"/>
  <c r="G30" i="29"/>
  <c r="F30" i="29"/>
  <c r="I29" i="29"/>
  <c r="H29" i="29"/>
  <c r="I28" i="29"/>
  <c r="H28" i="29"/>
  <c r="H27" i="29"/>
  <c r="G27" i="29"/>
  <c r="C48" i="29"/>
  <c r="C49" i="29"/>
  <c r="C50" i="29"/>
  <c r="C51" i="29"/>
  <c r="F51" i="29" s="1"/>
  <c r="C52" i="29"/>
  <c r="F52" i="29" s="1"/>
  <c r="C53" i="29"/>
  <c r="C54" i="29"/>
  <c r="C55" i="29"/>
  <c r="G55" i="29" s="1"/>
  <c r="C56" i="29"/>
  <c r="C57" i="29"/>
  <c r="C58" i="29"/>
  <c r="C59" i="29"/>
  <c r="C60" i="29"/>
  <c r="C47" i="29"/>
  <c r="E6" i="29"/>
  <c r="H6" i="29" s="1"/>
  <c r="C69" i="29" s="1"/>
  <c r="E7" i="29"/>
  <c r="H7" i="29" s="1"/>
  <c r="C70" i="29" s="1"/>
  <c r="E8" i="29"/>
  <c r="E9" i="29"/>
  <c r="E10" i="29"/>
  <c r="H10" i="29" s="1"/>
  <c r="C73" i="29" s="1"/>
  <c r="E11" i="29"/>
  <c r="E12" i="29"/>
  <c r="E13" i="29"/>
  <c r="G14" i="29" s="1"/>
  <c r="E14" i="29"/>
  <c r="G13" i="29" s="1"/>
  <c r="E15" i="29"/>
  <c r="H15" i="29" s="1"/>
  <c r="C78" i="29" s="1"/>
  <c r="E16" i="29"/>
  <c r="E17" i="29"/>
  <c r="E18" i="29"/>
  <c r="E5" i="29"/>
  <c r="G6" i="29" s="1"/>
  <c r="D7" i="29"/>
  <c r="D8" i="29"/>
  <c r="F8" i="29" s="1"/>
  <c r="C29" i="29" s="1"/>
  <c r="D9" i="29"/>
  <c r="D10" i="29"/>
  <c r="D11" i="29"/>
  <c r="F11" i="29" s="1"/>
  <c r="C32" i="29" s="1"/>
  <c r="D12" i="29"/>
  <c r="D13" i="29"/>
  <c r="D14" i="29"/>
  <c r="F14" i="29" s="1"/>
  <c r="C35" i="29" s="1"/>
  <c r="D15" i="29"/>
  <c r="D16" i="29"/>
  <c r="D17" i="29"/>
  <c r="F17" i="29" s="1"/>
  <c r="C38" i="29" s="1"/>
  <c r="D18" i="29"/>
  <c r="D6" i="29"/>
  <c r="F6" i="29" s="1"/>
  <c r="C27" i="29" s="1"/>
  <c r="D5" i="29"/>
  <c r="G57" i="29"/>
  <c r="F57" i="29"/>
  <c r="H53" i="29"/>
  <c r="G53" i="29"/>
  <c r="E51" i="29"/>
  <c r="G18" i="29"/>
  <c r="H18" i="29"/>
  <c r="C81" i="29" s="1"/>
  <c r="F18" i="29"/>
  <c r="C39" i="29" s="1"/>
  <c r="H17" i="29"/>
  <c r="C80" i="29" s="1"/>
  <c r="G16" i="29"/>
  <c r="H16" i="29"/>
  <c r="C79" i="29" s="1"/>
  <c r="F16" i="29"/>
  <c r="C37" i="29" s="1"/>
  <c r="F15" i="29"/>
  <c r="C36" i="29" s="1"/>
  <c r="H14" i="29"/>
  <c r="C77" i="29" s="1"/>
  <c r="F13" i="29"/>
  <c r="C34" i="29" s="1"/>
  <c r="H12" i="29"/>
  <c r="C75" i="29" s="1"/>
  <c r="G7" i="29"/>
  <c r="F12" i="29"/>
  <c r="C33" i="29" s="1"/>
  <c r="G11" i="29"/>
  <c r="G10" i="29"/>
  <c r="F10" i="29"/>
  <c r="C31" i="29" s="1"/>
  <c r="H9" i="29"/>
  <c r="C72" i="29" s="1"/>
  <c r="G9" i="29"/>
  <c r="F9" i="29"/>
  <c r="C30" i="29" s="1"/>
  <c r="H8" i="29"/>
  <c r="C71" i="29" s="1"/>
  <c r="F7" i="29"/>
  <c r="C28" i="29" s="1"/>
  <c r="F5" i="29"/>
  <c r="C26" i="29" s="1"/>
  <c r="I26" i="29" s="1"/>
  <c r="K6" i="1"/>
  <c r="L6" i="1" s="1"/>
  <c r="K7" i="1"/>
  <c r="K8" i="1"/>
  <c r="K9" i="1"/>
  <c r="K10" i="1"/>
  <c r="L10" i="1" s="1"/>
  <c r="K11" i="1"/>
  <c r="L11" i="1" s="1"/>
  <c r="K12" i="1"/>
  <c r="K13" i="1"/>
  <c r="L13" i="1" s="1"/>
  <c r="K14" i="1"/>
  <c r="L14" i="1" s="1"/>
  <c r="K15" i="1"/>
  <c r="K16" i="1"/>
  <c r="K17" i="1"/>
  <c r="K18" i="1"/>
  <c r="L18" i="1" s="1"/>
  <c r="K5" i="1"/>
  <c r="L5" i="1" s="1"/>
  <c r="L17" i="1"/>
  <c r="L16" i="1"/>
  <c r="L15" i="1"/>
  <c r="L12" i="1"/>
  <c r="L9" i="1"/>
  <c r="L8" i="1"/>
  <c r="L7" i="1"/>
  <c r="W173" i="21" l="1" a="1"/>
  <c r="W173" i="21" s="1"/>
  <c r="W154" i="21" a="1"/>
  <c r="W154" i="21" s="1"/>
  <c r="W135" i="21" a="1"/>
  <c r="W135" i="21" s="1"/>
  <c r="F55" i="29"/>
  <c r="E52" i="29"/>
  <c r="G15" i="29"/>
  <c r="G5" i="29"/>
  <c r="H13" i="29"/>
  <c r="C76" i="29" s="1"/>
  <c r="G8" i="29"/>
  <c r="H5" i="29"/>
  <c r="C68" i="29" s="1"/>
  <c r="G12" i="29"/>
  <c r="H11" i="29"/>
  <c r="C74" i="29" s="1"/>
  <c r="H26" i="29"/>
  <c r="G17" i="29"/>
  <c r="G77" i="29"/>
  <c r="F77" i="29"/>
  <c r="Q6" i="27" l="1"/>
  <c r="Q7" i="27"/>
  <c r="Q8" i="27"/>
  <c r="Q9" i="27"/>
  <c r="Q10" i="27"/>
  <c r="Q11" i="27"/>
  <c r="Q12" i="27"/>
  <c r="Q13" i="27"/>
  <c r="Q14" i="27"/>
  <c r="Q15" i="27"/>
  <c r="Q16" i="27"/>
  <c r="Q17" i="27"/>
  <c r="Q18" i="27"/>
  <c r="Q5" i="27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5" i="27"/>
  <c r="Q12" i="26"/>
  <c r="S12" i="26"/>
  <c r="T12" i="26"/>
  <c r="U12" i="26"/>
  <c r="P12" i="26"/>
  <c r="H12" i="26"/>
  <c r="J12" i="26"/>
  <c r="K12" i="26"/>
  <c r="L12" i="26"/>
  <c r="G12" i="26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5" i="25"/>
  <c r="N6" i="25"/>
  <c r="N7" i="25"/>
  <c r="N8" i="25"/>
  <c r="N9" i="25"/>
  <c r="N10" i="25"/>
  <c r="N11" i="25"/>
  <c r="N12" i="25"/>
  <c r="N13" i="25"/>
  <c r="P13" i="25" s="1"/>
  <c r="N14" i="25"/>
  <c r="N15" i="25"/>
  <c r="N16" i="25"/>
  <c r="N17" i="25"/>
  <c r="N18" i="25"/>
  <c r="N5" i="25"/>
  <c r="Q6" i="25"/>
  <c r="Q7" i="25"/>
  <c r="Q8" i="25"/>
  <c r="Q9" i="25"/>
  <c r="Q10" i="25"/>
  <c r="Q11" i="25"/>
  <c r="Q12" i="25"/>
  <c r="S12" i="25" s="1"/>
  <c r="Q13" i="25"/>
  <c r="Q14" i="25"/>
  <c r="Q15" i="25"/>
  <c r="Q16" i="25"/>
  <c r="Q17" i="25"/>
  <c r="Q18" i="25"/>
  <c r="Q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5" i="25"/>
  <c r="K6" i="25"/>
  <c r="K7" i="25"/>
  <c r="K8" i="25"/>
  <c r="K9" i="25"/>
  <c r="K10" i="25"/>
  <c r="K11" i="25"/>
  <c r="M11" i="25" s="1"/>
  <c r="K12" i="25"/>
  <c r="K13" i="25"/>
  <c r="K14" i="25"/>
  <c r="K15" i="25"/>
  <c r="K16" i="25"/>
  <c r="K17" i="25"/>
  <c r="K18" i="25"/>
  <c r="K5" i="25"/>
  <c r="M5" i="25" s="1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5" i="25"/>
  <c r="H6" i="25"/>
  <c r="H7" i="25"/>
  <c r="H8" i="25"/>
  <c r="H9" i="25"/>
  <c r="H10" i="25"/>
  <c r="H11" i="25"/>
  <c r="H12" i="25"/>
  <c r="H13" i="25"/>
  <c r="H14" i="25"/>
  <c r="H15" i="25"/>
  <c r="J15" i="25" s="1"/>
  <c r="H16" i="25"/>
  <c r="H17" i="25"/>
  <c r="H18" i="25"/>
  <c r="H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5" i="25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P17" i="24" s="1"/>
  <c r="O18" i="24"/>
  <c r="O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5" i="24"/>
  <c r="L6" i="24"/>
  <c r="L7" i="24"/>
  <c r="M7" i="24" s="1"/>
  <c r="L8" i="24"/>
  <c r="L9" i="24"/>
  <c r="M9" i="24" s="1"/>
  <c r="L10" i="24"/>
  <c r="L11" i="24"/>
  <c r="L12" i="24"/>
  <c r="L13" i="24"/>
  <c r="M13" i="24" s="1"/>
  <c r="L14" i="24"/>
  <c r="L15" i="24"/>
  <c r="L16" i="24"/>
  <c r="L17" i="24"/>
  <c r="M17" i="24" s="1"/>
  <c r="L18" i="24"/>
  <c r="L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5" i="24"/>
  <c r="I6" i="24"/>
  <c r="I7" i="24"/>
  <c r="I8" i="24"/>
  <c r="I9" i="24"/>
  <c r="J9" i="24" s="1"/>
  <c r="I10" i="24"/>
  <c r="I11" i="24"/>
  <c r="I12" i="24"/>
  <c r="I13" i="24"/>
  <c r="J13" i="24" s="1"/>
  <c r="I14" i="24"/>
  <c r="I15" i="24"/>
  <c r="I16" i="24"/>
  <c r="I17" i="24"/>
  <c r="J17" i="24" s="1"/>
  <c r="I18" i="24"/>
  <c r="I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5" i="24"/>
  <c r="F6" i="24"/>
  <c r="F7" i="24"/>
  <c r="F8" i="24"/>
  <c r="F9" i="24"/>
  <c r="G9" i="24" s="1"/>
  <c r="F10" i="24"/>
  <c r="F11" i="24"/>
  <c r="F12" i="24"/>
  <c r="F13" i="24"/>
  <c r="G13" i="24" s="1"/>
  <c r="F14" i="24"/>
  <c r="F15" i="24"/>
  <c r="F16" i="24"/>
  <c r="F17" i="24"/>
  <c r="G17" i="24" s="1"/>
  <c r="F18" i="24"/>
  <c r="F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5" i="24"/>
  <c r="C6" i="24"/>
  <c r="C7" i="24"/>
  <c r="C8" i="24"/>
  <c r="C9" i="24"/>
  <c r="D9" i="24" s="1"/>
  <c r="C10" i="24"/>
  <c r="C11" i="24"/>
  <c r="C12" i="24"/>
  <c r="C13" i="24"/>
  <c r="D13" i="24" s="1"/>
  <c r="C14" i="24"/>
  <c r="C15" i="24"/>
  <c r="C16" i="24"/>
  <c r="C17" i="24"/>
  <c r="D17" i="24" s="1"/>
  <c r="C18" i="24"/>
  <c r="C5" i="24"/>
  <c r="B6" i="24"/>
  <c r="B7" i="24"/>
  <c r="B8" i="24"/>
  <c r="B9" i="24"/>
  <c r="B10" i="24"/>
  <c r="B11" i="24"/>
  <c r="D11" i="24" s="1"/>
  <c r="B12" i="24"/>
  <c r="B13" i="24"/>
  <c r="B14" i="24"/>
  <c r="B15" i="24"/>
  <c r="B16" i="24"/>
  <c r="B17" i="24"/>
  <c r="B18" i="24"/>
  <c r="B5" i="24"/>
  <c r="D5" i="24" s="1"/>
  <c r="P14" i="25" l="1"/>
  <c r="P6" i="25"/>
  <c r="M12" i="25"/>
  <c r="J7" i="25"/>
  <c r="J5" i="25"/>
  <c r="M17" i="25"/>
  <c r="M9" i="25"/>
  <c r="S15" i="25"/>
  <c r="S7" i="25"/>
  <c r="M15" i="25"/>
  <c r="S16" i="25"/>
  <c r="S8" i="25"/>
  <c r="G16" i="25"/>
  <c r="G8" i="25"/>
  <c r="J12" i="25"/>
  <c r="P18" i="25"/>
  <c r="P10" i="25"/>
  <c r="J11" i="25"/>
  <c r="M7" i="25"/>
  <c r="G18" i="25"/>
  <c r="G10" i="25"/>
  <c r="J14" i="25"/>
  <c r="J6" i="25"/>
  <c r="M18" i="25"/>
  <c r="M10" i="25"/>
  <c r="P12" i="25"/>
  <c r="S13" i="25"/>
  <c r="G7" i="25"/>
  <c r="G14" i="25"/>
  <c r="G6" i="25"/>
  <c r="J18" i="25"/>
  <c r="J10" i="25"/>
  <c r="G17" i="25"/>
  <c r="P11" i="25"/>
  <c r="G15" i="25"/>
  <c r="G13" i="25"/>
  <c r="S17" i="25"/>
  <c r="S9" i="25"/>
  <c r="S5" i="25"/>
  <c r="S11" i="25"/>
  <c r="G9" i="25"/>
  <c r="P5" i="25"/>
  <c r="S14" i="25"/>
  <c r="S6" i="25"/>
  <c r="S18" i="25"/>
  <c r="S10" i="25"/>
  <c r="P17" i="25"/>
  <c r="P16" i="25"/>
  <c r="P8" i="25"/>
  <c r="P15" i="25"/>
  <c r="P7" i="25"/>
  <c r="P9" i="25"/>
  <c r="M16" i="25"/>
  <c r="M8" i="25"/>
  <c r="M14" i="25"/>
  <c r="M6" i="25"/>
  <c r="M13" i="25"/>
  <c r="J17" i="25"/>
  <c r="J9" i="25"/>
  <c r="J16" i="25"/>
  <c r="J8" i="25"/>
  <c r="J13" i="25"/>
  <c r="G12" i="25"/>
  <c r="G5" i="25"/>
  <c r="G11" i="25"/>
  <c r="D16" i="24"/>
  <c r="D8" i="24"/>
  <c r="P13" i="24"/>
  <c r="S17" i="24"/>
  <c r="S9" i="24"/>
  <c r="P9" i="24"/>
  <c r="S13" i="24"/>
  <c r="G12" i="24"/>
  <c r="J16" i="24"/>
  <c r="M12" i="24"/>
  <c r="P8" i="24"/>
  <c r="D14" i="24"/>
  <c r="D6" i="24"/>
  <c r="G18" i="24"/>
  <c r="G10" i="24"/>
  <c r="J14" i="24"/>
  <c r="J6" i="24"/>
  <c r="M18" i="24"/>
  <c r="M10" i="24"/>
  <c r="P14" i="24"/>
  <c r="P6" i="24"/>
  <c r="S18" i="24"/>
  <c r="S10" i="24"/>
  <c r="G15" i="24"/>
  <c r="G7" i="24"/>
  <c r="J5" i="24"/>
  <c r="J11" i="24"/>
  <c r="M15" i="24"/>
  <c r="P5" i="24"/>
  <c r="P11" i="24"/>
  <c r="S15" i="24"/>
  <c r="S7" i="24"/>
  <c r="D12" i="24"/>
  <c r="P18" i="24"/>
  <c r="G16" i="24"/>
  <c r="G8" i="24"/>
  <c r="J12" i="24"/>
  <c r="M16" i="24"/>
  <c r="M8" i="24"/>
  <c r="P12" i="24"/>
  <c r="S16" i="24"/>
  <c r="S8" i="24"/>
  <c r="D18" i="24"/>
  <c r="D10" i="24"/>
  <c r="G14" i="24"/>
  <c r="G6" i="24"/>
  <c r="J18" i="24"/>
  <c r="J10" i="24"/>
  <c r="M14" i="24"/>
  <c r="M6" i="24"/>
  <c r="P10" i="24"/>
  <c r="S14" i="24"/>
  <c r="S6" i="24"/>
  <c r="J8" i="24"/>
  <c r="P16" i="24"/>
  <c r="S12" i="24"/>
  <c r="D15" i="24"/>
  <c r="D7" i="24"/>
  <c r="G5" i="24"/>
  <c r="G11" i="24"/>
  <c r="J15" i="24"/>
  <c r="J7" i="24"/>
  <c r="M5" i="24"/>
  <c r="M11" i="24"/>
  <c r="P15" i="24"/>
  <c r="P7" i="24"/>
  <c r="S5" i="24"/>
  <c r="S11" i="24"/>
  <c r="G18" i="22"/>
  <c r="F60" i="14"/>
  <c r="E60" i="14"/>
  <c r="F59" i="14"/>
  <c r="E59" i="14"/>
  <c r="F58" i="14"/>
  <c r="E58" i="14"/>
  <c r="G57" i="14"/>
  <c r="F57" i="14"/>
  <c r="F56" i="14"/>
  <c r="E56" i="14"/>
  <c r="G55" i="14"/>
  <c r="F55" i="14"/>
  <c r="H53" i="14"/>
  <c r="G53" i="14"/>
  <c r="F52" i="14"/>
  <c r="E52" i="14"/>
  <c r="F51" i="14"/>
  <c r="E51" i="14"/>
  <c r="E50" i="14"/>
  <c r="D50" i="14"/>
  <c r="I49" i="14"/>
  <c r="H49" i="14"/>
  <c r="F48" i="14"/>
  <c r="E48" i="14"/>
  <c r="F47" i="14"/>
  <c r="E47" i="14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J9" i="13" s="1"/>
  <c r="I8" i="13"/>
  <c r="J8" i="13" s="1"/>
  <c r="I7" i="13"/>
  <c r="J7" i="13" s="1"/>
  <c r="I6" i="13"/>
  <c r="J6" i="13" s="1"/>
  <c r="I5" i="13"/>
  <c r="J5" i="13" s="1"/>
  <c r="N110" i="21" l="1"/>
  <c r="O110" i="21" s="1"/>
  <c r="Q110" i="21" s="1"/>
  <c r="N115" i="21"/>
  <c r="N114" i="21"/>
  <c r="O114" i="21" s="1"/>
  <c r="Q114" i="21" s="1"/>
  <c r="N113" i="21"/>
  <c r="O113" i="21" s="1"/>
  <c r="Q113" i="21" s="1"/>
  <c r="N112" i="21"/>
  <c r="O112" i="21" s="1"/>
  <c r="Q112" i="21" s="1"/>
  <c r="N109" i="21"/>
  <c r="O109" i="21" s="1"/>
  <c r="Q109" i="21" s="1"/>
  <c r="N107" i="21"/>
  <c r="N106" i="21"/>
  <c r="O106" i="21" s="1"/>
  <c r="Q106" i="21" s="1"/>
  <c r="N104" i="21"/>
  <c r="O104" i="21" s="1"/>
  <c r="Q104" i="21" s="1"/>
  <c r="N103" i="21"/>
  <c r="N95" i="21"/>
  <c r="O95" i="21" s="1"/>
  <c r="Q95" i="21" s="1"/>
  <c r="N92" i="21"/>
  <c r="N85" i="21"/>
  <c r="N82" i="21"/>
  <c r="O82" i="21" s="1"/>
  <c r="Q82" i="21" s="1"/>
  <c r="N76" i="21"/>
  <c r="N74" i="21"/>
  <c r="N72" i="21"/>
  <c r="N70" i="21"/>
  <c r="N68" i="21"/>
  <c r="N66" i="21"/>
  <c r="N64" i="21"/>
  <c r="N46" i="21"/>
  <c r="N50" i="21"/>
  <c r="N56" i="21"/>
  <c r="N57" i="21"/>
  <c r="N52" i="21"/>
  <c r="N49" i="21"/>
  <c r="N44" i="21"/>
  <c r="N25" i="21"/>
  <c r="N27" i="21"/>
  <c r="N29" i="21"/>
  <c r="N31" i="21"/>
  <c r="N33" i="21"/>
  <c r="N35" i="21"/>
  <c r="N37" i="21"/>
  <c r="P115" i="21"/>
  <c r="Q18" i="28" s="1"/>
  <c r="P114" i="21"/>
  <c r="Q17" i="28" s="1"/>
  <c r="P113" i="21"/>
  <c r="Q16" i="28" s="1"/>
  <c r="P112" i="21"/>
  <c r="Q15" i="28" s="1"/>
  <c r="P111" i="21"/>
  <c r="Q14" i="28" s="1"/>
  <c r="N111" i="21"/>
  <c r="P110" i="21"/>
  <c r="Q13" i="28" s="1"/>
  <c r="P109" i="21"/>
  <c r="Q12" i="28" s="1"/>
  <c r="P108" i="21"/>
  <c r="Q11" i="28" s="1"/>
  <c r="N108" i="21"/>
  <c r="P107" i="21"/>
  <c r="Q10" i="28" s="1"/>
  <c r="P106" i="21"/>
  <c r="Q9" i="28" s="1"/>
  <c r="P105" i="21"/>
  <c r="Q8" i="28" s="1"/>
  <c r="N105" i="21"/>
  <c r="P104" i="21"/>
  <c r="Q7" i="28" s="1"/>
  <c r="P103" i="21"/>
  <c r="Q6" i="28" s="1"/>
  <c r="P102" i="21"/>
  <c r="Q5" i="28" s="1"/>
  <c r="N102" i="21"/>
  <c r="P95" i="21"/>
  <c r="N18" i="28" s="1"/>
  <c r="P94" i="21"/>
  <c r="N17" i="28" s="1"/>
  <c r="N94" i="21"/>
  <c r="P93" i="21"/>
  <c r="N16" i="28" s="1"/>
  <c r="N93" i="21"/>
  <c r="P92" i="21"/>
  <c r="N15" i="28" s="1"/>
  <c r="P91" i="21"/>
  <c r="N14" i="28" s="1"/>
  <c r="N91" i="21"/>
  <c r="P90" i="21"/>
  <c r="N13" i="28" s="1"/>
  <c r="N90" i="21"/>
  <c r="O90" i="21" s="1"/>
  <c r="Q90" i="21" s="1"/>
  <c r="P89" i="21"/>
  <c r="N12" i="28" s="1"/>
  <c r="N89" i="21"/>
  <c r="P88" i="21"/>
  <c r="N11" i="28" s="1"/>
  <c r="N88" i="21"/>
  <c r="P87" i="21"/>
  <c r="N10" i="28" s="1"/>
  <c r="N87" i="21"/>
  <c r="O87" i="21" s="1"/>
  <c r="Q87" i="21" s="1"/>
  <c r="P86" i="21"/>
  <c r="N9" i="28" s="1"/>
  <c r="N86" i="21"/>
  <c r="P85" i="21"/>
  <c r="N8" i="28" s="1"/>
  <c r="P84" i="21"/>
  <c r="N7" i="28" s="1"/>
  <c r="N84" i="21"/>
  <c r="O84" i="21" s="1"/>
  <c r="Q84" i="21" s="1"/>
  <c r="P83" i="21"/>
  <c r="N6" i="28" s="1"/>
  <c r="N83" i="21"/>
  <c r="P82" i="21"/>
  <c r="N5" i="28" s="1"/>
  <c r="P76" i="21"/>
  <c r="K18" i="28" s="1"/>
  <c r="P75" i="21"/>
  <c r="K17" i="28" s="1"/>
  <c r="N75" i="21"/>
  <c r="P74" i="21"/>
  <c r="K16" i="28" s="1"/>
  <c r="P73" i="21"/>
  <c r="K15" i="28" s="1"/>
  <c r="N73" i="21"/>
  <c r="P72" i="21"/>
  <c r="K14" i="28" s="1"/>
  <c r="P71" i="21"/>
  <c r="K13" i="28" s="1"/>
  <c r="N71" i="21"/>
  <c r="P70" i="21"/>
  <c r="K12" i="28" s="1"/>
  <c r="P69" i="21"/>
  <c r="K11" i="28" s="1"/>
  <c r="N69" i="21"/>
  <c r="P68" i="21"/>
  <c r="K10" i="28" s="1"/>
  <c r="P67" i="21"/>
  <c r="K9" i="28" s="1"/>
  <c r="N67" i="21"/>
  <c r="P66" i="21"/>
  <c r="K8" i="28" s="1"/>
  <c r="P65" i="21"/>
  <c r="K7" i="28" s="1"/>
  <c r="N65" i="21"/>
  <c r="P64" i="21"/>
  <c r="K6" i="28" s="1"/>
  <c r="P63" i="21"/>
  <c r="K5" i="28" s="1"/>
  <c r="N63" i="21"/>
  <c r="P57" i="21"/>
  <c r="H18" i="28" s="1"/>
  <c r="P56" i="21"/>
  <c r="H17" i="28" s="1"/>
  <c r="P55" i="21"/>
  <c r="H16" i="28" s="1"/>
  <c r="N55" i="21"/>
  <c r="P54" i="21"/>
  <c r="H15" i="28" s="1"/>
  <c r="N54" i="21"/>
  <c r="P53" i="21"/>
  <c r="H14" i="28" s="1"/>
  <c r="N53" i="21"/>
  <c r="P52" i="21"/>
  <c r="H13" i="28" s="1"/>
  <c r="P51" i="21"/>
  <c r="H12" i="28" s="1"/>
  <c r="N51" i="21"/>
  <c r="P50" i="21"/>
  <c r="H11" i="28" s="1"/>
  <c r="P49" i="21"/>
  <c r="H10" i="28" s="1"/>
  <c r="P48" i="21"/>
  <c r="H9" i="28" s="1"/>
  <c r="N48" i="21"/>
  <c r="P47" i="21"/>
  <c r="H8" i="28" s="1"/>
  <c r="N47" i="21"/>
  <c r="P46" i="21"/>
  <c r="H7" i="28" s="1"/>
  <c r="P45" i="21"/>
  <c r="H6" i="28" s="1"/>
  <c r="N45" i="21"/>
  <c r="P44" i="21"/>
  <c r="H5" i="28" s="1"/>
  <c r="P38" i="21"/>
  <c r="E18" i="28" s="1"/>
  <c r="N38" i="21"/>
  <c r="O38" i="21" s="1"/>
  <c r="Q38" i="21" s="1"/>
  <c r="P37" i="21"/>
  <c r="E17" i="28" s="1"/>
  <c r="P36" i="21"/>
  <c r="E16" i="28" s="1"/>
  <c r="N36" i="21"/>
  <c r="O36" i="21" s="1"/>
  <c r="Q36" i="21" s="1"/>
  <c r="P35" i="21"/>
  <c r="E15" i="28" s="1"/>
  <c r="P34" i="21"/>
  <c r="E14" i="28" s="1"/>
  <c r="N34" i="21"/>
  <c r="O34" i="21" s="1"/>
  <c r="Q34" i="21" s="1"/>
  <c r="P33" i="21"/>
  <c r="E13" i="28" s="1"/>
  <c r="P32" i="21"/>
  <c r="E12" i="28" s="1"/>
  <c r="N32" i="21"/>
  <c r="O32" i="21" s="1"/>
  <c r="Q32" i="21" s="1"/>
  <c r="P31" i="21"/>
  <c r="E11" i="28" s="1"/>
  <c r="P30" i="21"/>
  <c r="E10" i="28" s="1"/>
  <c r="N30" i="21"/>
  <c r="O30" i="21" s="1"/>
  <c r="Q30" i="21" s="1"/>
  <c r="P29" i="21"/>
  <c r="E9" i="28" s="1"/>
  <c r="P28" i="21"/>
  <c r="E8" i="28" s="1"/>
  <c r="N28" i="21"/>
  <c r="O28" i="21" s="1"/>
  <c r="Q28" i="21" s="1"/>
  <c r="P27" i="21"/>
  <c r="E7" i="28" s="1"/>
  <c r="P26" i="21"/>
  <c r="E6" i="28" s="1"/>
  <c r="N26" i="21"/>
  <c r="O26" i="21" s="1"/>
  <c r="Q26" i="21" s="1"/>
  <c r="P25" i="21"/>
  <c r="E5" i="28" s="1"/>
  <c r="H18" i="22"/>
  <c r="C81" i="22" s="1"/>
  <c r="H17" i="22"/>
  <c r="G15" i="22"/>
  <c r="C57" i="22" s="1"/>
  <c r="H13" i="22"/>
  <c r="C76" i="22" s="1"/>
  <c r="H10" i="22"/>
  <c r="C73" i="22" s="1"/>
  <c r="H9" i="22"/>
  <c r="H6" i="22"/>
  <c r="C69" i="22" s="1"/>
  <c r="H5" i="22"/>
  <c r="C68" i="22" s="1"/>
  <c r="H7" i="22"/>
  <c r="H8" i="22"/>
  <c r="C71" i="22" s="1"/>
  <c r="H11" i="22"/>
  <c r="H12" i="22"/>
  <c r="C75" i="22" s="1"/>
  <c r="H15" i="22"/>
  <c r="C78" i="22" s="1"/>
  <c r="H16" i="22"/>
  <c r="C79" i="22" s="1"/>
  <c r="G6" i="22"/>
  <c r="C48" i="22" s="1"/>
  <c r="G9" i="22"/>
  <c r="C51" i="22" s="1"/>
  <c r="G11" i="22"/>
  <c r="C53" i="22" s="1"/>
  <c r="G7" i="22"/>
  <c r="C49" i="22" s="1"/>
  <c r="G17" i="22"/>
  <c r="C59" i="22" s="1"/>
  <c r="V109" i="21" l="1"/>
  <c r="R12" i="28"/>
  <c r="S12" i="28" s="1"/>
  <c r="R15" i="28"/>
  <c r="S15" i="28" s="1"/>
  <c r="V112" i="21"/>
  <c r="V106" i="21"/>
  <c r="R9" i="28"/>
  <c r="S9" i="28" s="1"/>
  <c r="R16" i="28"/>
  <c r="S16" i="28" s="1"/>
  <c r="V113" i="21"/>
  <c r="V114" i="21"/>
  <c r="R17" i="28"/>
  <c r="S17" i="28" s="1"/>
  <c r="R7" i="28"/>
  <c r="S7" i="28" s="1"/>
  <c r="V104" i="21"/>
  <c r="V110" i="21"/>
  <c r="R13" i="28"/>
  <c r="S13" i="28" s="1"/>
  <c r="O13" i="28"/>
  <c r="P13" i="28" s="1"/>
  <c r="V90" i="21"/>
  <c r="V84" i="21"/>
  <c r="O7" i="28"/>
  <c r="P7" i="28" s="1"/>
  <c r="O5" i="28"/>
  <c r="V82" i="21"/>
  <c r="O10" i="28"/>
  <c r="P10" i="28" s="1"/>
  <c r="V87" i="21"/>
  <c r="O18" i="28"/>
  <c r="P18" i="28" s="1"/>
  <c r="V95" i="21"/>
  <c r="F14" i="28"/>
  <c r="G14" i="28" s="1"/>
  <c r="V34" i="21"/>
  <c r="V30" i="21"/>
  <c r="F10" i="28"/>
  <c r="G10" i="28" s="1"/>
  <c r="V28" i="21"/>
  <c r="F8" i="28"/>
  <c r="G8" i="28" s="1"/>
  <c r="V36" i="21"/>
  <c r="F16" i="28"/>
  <c r="G16" i="28" s="1"/>
  <c r="F12" i="28"/>
  <c r="G12" i="28" s="1"/>
  <c r="V32" i="21"/>
  <c r="F6" i="28"/>
  <c r="G6" i="28" s="1"/>
  <c r="V26" i="21"/>
  <c r="V38" i="21"/>
  <c r="F18" i="28"/>
  <c r="G18" i="28" s="1"/>
  <c r="G49" i="22"/>
  <c r="F49" i="22"/>
  <c r="H81" i="22"/>
  <c r="G81" i="22"/>
  <c r="F68" i="22"/>
  <c r="E68" i="22"/>
  <c r="G76" i="22"/>
  <c r="F76" i="22"/>
  <c r="H71" i="22"/>
  <c r="G71" i="22"/>
  <c r="F48" i="22"/>
  <c r="E48" i="22"/>
  <c r="G75" i="22"/>
  <c r="F75" i="22"/>
  <c r="E59" i="22"/>
  <c r="D59" i="22"/>
  <c r="E79" i="22"/>
  <c r="D79" i="22"/>
  <c r="F53" i="22"/>
  <c r="E53" i="22"/>
  <c r="H51" i="22"/>
  <c r="G51" i="22"/>
  <c r="H69" i="22"/>
  <c r="G69" i="22"/>
  <c r="H78" i="22"/>
  <c r="G78" i="22"/>
  <c r="F73" i="22"/>
  <c r="E73" i="22"/>
  <c r="G57" i="22"/>
  <c r="H57" i="22"/>
  <c r="O94" i="21"/>
  <c r="Q94" i="21" s="1"/>
  <c r="O92" i="21"/>
  <c r="Q92" i="21" s="1"/>
  <c r="O91" i="21"/>
  <c r="Q91" i="21" s="1"/>
  <c r="O88" i="21"/>
  <c r="Q88" i="21" s="1"/>
  <c r="O102" i="21"/>
  <c r="Q102" i="21" s="1"/>
  <c r="O105" i="21"/>
  <c r="Q105" i="21" s="1"/>
  <c r="O108" i="21"/>
  <c r="Q108" i="21" s="1"/>
  <c r="O83" i="21"/>
  <c r="Q83" i="21" s="1"/>
  <c r="O86" i="21"/>
  <c r="Q86" i="21" s="1"/>
  <c r="O44" i="21"/>
  <c r="O52" i="21"/>
  <c r="Q52" i="21" s="1"/>
  <c r="S200" i="21" s="1"/>
  <c r="S184" i="21" s="1"/>
  <c r="O56" i="21"/>
  <c r="Q56" i="21" s="1"/>
  <c r="S204" i="21" s="1"/>
  <c r="S188" i="21" s="1"/>
  <c r="O48" i="21"/>
  <c r="O46" i="21"/>
  <c r="O54" i="21"/>
  <c r="O50" i="21"/>
  <c r="O25" i="21"/>
  <c r="Q25" i="21" s="1"/>
  <c r="O27" i="21"/>
  <c r="Q27" i="21" s="1"/>
  <c r="O29" i="21"/>
  <c r="Q29" i="21" s="1"/>
  <c r="O31" i="21"/>
  <c r="Q31" i="21" s="1"/>
  <c r="O33" i="21"/>
  <c r="Q33" i="21" s="1"/>
  <c r="O35" i="21"/>
  <c r="Q35" i="21" s="1"/>
  <c r="O37" i="21"/>
  <c r="Q37" i="21" s="1"/>
  <c r="O45" i="21"/>
  <c r="Q45" i="21" s="1"/>
  <c r="S193" i="21" s="1"/>
  <c r="S177" i="21" s="1"/>
  <c r="O49" i="21"/>
  <c r="Q49" i="21" s="1"/>
  <c r="O53" i="21"/>
  <c r="Q53" i="21" s="1"/>
  <c r="S201" i="21" s="1"/>
  <c r="S185" i="21" s="1"/>
  <c r="O57" i="21"/>
  <c r="O63" i="21"/>
  <c r="L5" i="28" s="1"/>
  <c r="O68" i="21"/>
  <c r="Q68" i="21" s="1"/>
  <c r="O69" i="21"/>
  <c r="Q69" i="21" s="1"/>
  <c r="O70" i="21"/>
  <c r="Q70" i="21" s="1"/>
  <c r="O73" i="21"/>
  <c r="Q73" i="21" s="1"/>
  <c r="O74" i="21"/>
  <c r="Q74" i="21" s="1"/>
  <c r="O75" i="21"/>
  <c r="Q75" i="21" s="1"/>
  <c r="O76" i="21"/>
  <c r="Q76" i="21" s="1"/>
  <c r="O103" i="21"/>
  <c r="Q103" i="21" s="1"/>
  <c r="O107" i="21"/>
  <c r="Q107" i="21" s="1"/>
  <c r="O111" i="21"/>
  <c r="Q111" i="21" s="1"/>
  <c r="O115" i="21"/>
  <c r="Q115" i="21" s="1"/>
  <c r="O85" i="21"/>
  <c r="Q85" i="21" s="1"/>
  <c r="O89" i="21"/>
  <c r="Q89" i="21" s="1"/>
  <c r="O93" i="21"/>
  <c r="Q93" i="21" s="1"/>
  <c r="O64" i="21"/>
  <c r="Q64" i="21" s="1"/>
  <c r="O65" i="21"/>
  <c r="Q65" i="21" s="1"/>
  <c r="O66" i="21"/>
  <c r="Q66" i="21" s="1"/>
  <c r="O67" i="21"/>
  <c r="Q67" i="21" s="1"/>
  <c r="O71" i="21"/>
  <c r="Q71" i="21" s="1"/>
  <c r="O72" i="21"/>
  <c r="Q72" i="21" s="1"/>
  <c r="O47" i="21"/>
  <c r="Q47" i="21" s="1"/>
  <c r="S195" i="21" s="1"/>
  <c r="S179" i="21" s="1"/>
  <c r="O51" i="21"/>
  <c r="Q51" i="21" s="1"/>
  <c r="O55" i="21"/>
  <c r="Q55" i="21" s="1"/>
  <c r="S203" i="21" s="1"/>
  <c r="S187" i="21" s="1"/>
  <c r="G10" i="22"/>
  <c r="C52" i="22" s="1"/>
  <c r="H14" i="22"/>
  <c r="C77" i="22" s="1"/>
  <c r="C60" i="22"/>
  <c r="G5" i="22"/>
  <c r="C47" i="22" s="1"/>
  <c r="G16" i="22"/>
  <c r="C58" i="22" s="1"/>
  <c r="G14" i="22"/>
  <c r="C56" i="22" s="1"/>
  <c r="C72" i="22"/>
  <c r="G13" i="22"/>
  <c r="C55" i="22" s="1"/>
  <c r="C80" i="22"/>
  <c r="G8" i="22"/>
  <c r="C50" i="22" s="1"/>
  <c r="C70" i="22"/>
  <c r="G12" i="22"/>
  <c r="C54" i="22" s="1"/>
  <c r="C74" i="22"/>
  <c r="I6" i="21"/>
  <c r="J6" i="21" s="1"/>
  <c r="X96" i="21" l="1" a="1"/>
  <c r="X96" i="21" s="1"/>
  <c r="V115" i="21"/>
  <c r="R18" i="28"/>
  <c r="S18" i="28" s="1"/>
  <c r="V108" i="21"/>
  <c r="R11" i="28"/>
  <c r="S11" i="28" s="1"/>
  <c r="V107" i="21"/>
  <c r="R10" i="28"/>
  <c r="S10" i="28" s="1"/>
  <c r="V102" i="21"/>
  <c r="X116" i="21" a="1"/>
  <c r="X116" i="21" s="1"/>
  <c r="S116" i="21"/>
  <c r="R5" i="28"/>
  <c r="V105" i="21"/>
  <c r="R8" i="28"/>
  <c r="S8" i="28" s="1"/>
  <c r="R14" i="28"/>
  <c r="S14" i="28" s="1"/>
  <c r="V111" i="21"/>
  <c r="R6" i="28"/>
  <c r="V103" i="21"/>
  <c r="O9" i="28"/>
  <c r="P9" i="28" s="1"/>
  <c r="V86" i="21"/>
  <c r="O11" i="28"/>
  <c r="P11" i="28" s="1"/>
  <c r="V88" i="21"/>
  <c r="S96" i="21"/>
  <c r="O12" i="28"/>
  <c r="P12" i="28" s="1"/>
  <c r="V89" i="21"/>
  <c r="V91" i="21"/>
  <c r="O14" i="28"/>
  <c r="P14" i="28" s="1"/>
  <c r="V93" i="21"/>
  <c r="O16" i="28"/>
  <c r="P16" i="28" s="1"/>
  <c r="V92" i="21"/>
  <c r="O15" i="28"/>
  <c r="P15" i="28" s="1"/>
  <c r="P5" i="28"/>
  <c r="V94" i="21"/>
  <c r="O17" i="28"/>
  <c r="P17" i="28" s="1"/>
  <c r="V85" i="21"/>
  <c r="O8" i="28"/>
  <c r="P8" i="28" s="1"/>
  <c r="V83" i="21"/>
  <c r="O6" i="28"/>
  <c r="P6" i="28" s="1"/>
  <c r="V69" i="21"/>
  <c r="L11" i="28"/>
  <c r="M11" i="28" s="1"/>
  <c r="V67" i="21"/>
  <c r="L9" i="28"/>
  <c r="M9" i="28" s="1"/>
  <c r="M5" i="28"/>
  <c r="V74" i="21"/>
  <c r="L16" i="28"/>
  <c r="M16" i="28" s="1"/>
  <c r="L15" i="28"/>
  <c r="M15" i="28" s="1"/>
  <c r="V73" i="21"/>
  <c r="V71" i="21"/>
  <c r="L13" i="28"/>
  <c r="M13" i="28" s="1"/>
  <c r="V66" i="21"/>
  <c r="L8" i="28"/>
  <c r="M8" i="28" s="1"/>
  <c r="L7" i="28"/>
  <c r="M7" i="28" s="1"/>
  <c r="V65" i="21"/>
  <c r="L6" i="28"/>
  <c r="V64" i="21"/>
  <c r="V76" i="21"/>
  <c r="L18" i="28"/>
  <c r="M18" i="28" s="1"/>
  <c r="V72" i="21"/>
  <c r="L14" i="28"/>
  <c r="M14" i="28" s="1"/>
  <c r="V70" i="21"/>
  <c r="L12" i="28"/>
  <c r="M12" i="28" s="1"/>
  <c r="L10" i="28"/>
  <c r="M10" i="28" s="1"/>
  <c r="V68" i="21"/>
  <c r="V75" i="21"/>
  <c r="L17" i="28"/>
  <c r="M17" i="28" s="1"/>
  <c r="I5" i="28"/>
  <c r="V44" i="21"/>
  <c r="X58" i="21" a="1"/>
  <c r="X58" i="21" s="1"/>
  <c r="S58" i="21"/>
  <c r="I10" i="28"/>
  <c r="J10" i="28" s="1"/>
  <c r="V49" i="21"/>
  <c r="I15" i="28"/>
  <c r="J15" i="28" s="1"/>
  <c r="V54" i="21"/>
  <c r="I12" i="28"/>
  <c r="J12" i="28" s="1"/>
  <c r="V51" i="21"/>
  <c r="I11" i="28"/>
  <c r="J11" i="28" s="1"/>
  <c r="V50" i="21"/>
  <c r="V46" i="21"/>
  <c r="I7" i="28"/>
  <c r="J7" i="28" s="1"/>
  <c r="I14" i="28"/>
  <c r="J14" i="28" s="1"/>
  <c r="V53" i="21"/>
  <c r="I6" i="28"/>
  <c r="J6" i="28" s="1"/>
  <c r="V45" i="21"/>
  <c r="V48" i="21"/>
  <c r="I9" i="28"/>
  <c r="J9" i="28" s="1"/>
  <c r="V47" i="21"/>
  <c r="I8" i="28"/>
  <c r="J8" i="28" s="1"/>
  <c r="V56" i="21"/>
  <c r="I17" i="28"/>
  <c r="J17" i="28" s="1"/>
  <c r="V55" i="21"/>
  <c r="I16" i="28"/>
  <c r="J16" i="28" s="1"/>
  <c r="I18" i="28"/>
  <c r="J18" i="28" s="1"/>
  <c r="V57" i="21"/>
  <c r="I13" i="28"/>
  <c r="J13" i="28" s="1"/>
  <c r="V52" i="21"/>
  <c r="V37" i="21"/>
  <c r="F17" i="28"/>
  <c r="G17" i="28" s="1"/>
  <c r="V35" i="21"/>
  <c r="F15" i="28"/>
  <c r="G15" i="28" s="1"/>
  <c r="V31" i="21"/>
  <c r="F11" i="28"/>
  <c r="G11" i="28" s="1"/>
  <c r="V29" i="21"/>
  <c r="F9" i="28"/>
  <c r="G9" i="28" s="1"/>
  <c r="S39" i="21"/>
  <c r="V25" i="21"/>
  <c r="F5" i="28"/>
  <c r="X39" i="21" a="1"/>
  <c r="X39" i="21" s="1"/>
  <c r="V33" i="21"/>
  <c r="F13" i="28"/>
  <c r="G13" i="28" s="1"/>
  <c r="V27" i="21"/>
  <c r="F7" i="28"/>
  <c r="G7" i="28" s="1"/>
  <c r="X77" i="21" a="1"/>
  <c r="X77" i="21" s="1"/>
  <c r="S77" i="21"/>
  <c r="V63" i="21"/>
  <c r="H47" i="22"/>
  <c r="G47" i="22"/>
  <c r="H52" i="22"/>
  <c r="G52" i="22"/>
  <c r="G70" i="22"/>
  <c r="F70" i="22"/>
  <c r="H77" i="22"/>
  <c r="G77" i="22"/>
  <c r="F50" i="22"/>
  <c r="G50" i="22"/>
  <c r="I80" i="22"/>
  <c r="H80" i="22"/>
  <c r="H72" i="22"/>
  <c r="G72" i="22"/>
  <c r="F74" i="22"/>
  <c r="E74" i="22"/>
  <c r="H58" i="22"/>
  <c r="I58" i="22"/>
  <c r="U96" i="21"/>
  <c r="I60" i="22"/>
  <c r="H60" i="22"/>
  <c r="H55" i="22"/>
  <c r="G55" i="22"/>
  <c r="F54" i="22"/>
  <c r="E54" i="22"/>
  <c r="F56" i="22"/>
  <c r="G56" i="22"/>
  <c r="U116" i="21"/>
  <c r="U77" i="21"/>
  <c r="U58" i="21"/>
  <c r="U39" i="21"/>
  <c r="P19" i="21"/>
  <c r="B18" i="28" s="1"/>
  <c r="I19" i="21"/>
  <c r="P18" i="21"/>
  <c r="B17" i="28" s="1"/>
  <c r="I18" i="21"/>
  <c r="P17" i="21"/>
  <c r="B16" i="28" s="1"/>
  <c r="I17" i="21"/>
  <c r="P16" i="21"/>
  <c r="B15" i="28" s="1"/>
  <c r="I16" i="21"/>
  <c r="P15" i="21"/>
  <c r="B14" i="28" s="1"/>
  <c r="I15" i="21"/>
  <c r="P14" i="21"/>
  <c r="B13" i="28" s="1"/>
  <c r="I14" i="21"/>
  <c r="P13" i="21"/>
  <c r="B12" i="28" s="1"/>
  <c r="I13" i="21"/>
  <c r="P12" i="21"/>
  <c r="B11" i="28" s="1"/>
  <c r="I12" i="21"/>
  <c r="P11" i="21"/>
  <c r="B10" i="28" s="1"/>
  <c r="I11" i="21"/>
  <c r="P10" i="21"/>
  <c r="B9" i="28" s="1"/>
  <c r="I10" i="21"/>
  <c r="P9" i="21"/>
  <c r="B8" i="28" s="1"/>
  <c r="I9" i="21"/>
  <c r="P8" i="21"/>
  <c r="B7" i="28" s="1"/>
  <c r="I8" i="21"/>
  <c r="P7" i="21"/>
  <c r="B6" i="28" s="1"/>
  <c r="I7" i="21"/>
  <c r="P6" i="21"/>
  <c r="B5" i="28" s="1"/>
  <c r="S6" i="28" l="1"/>
  <c r="S22" i="28"/>
  <c r="M6" i="28"/>
  <c r="M22" i="28"/>
  <c r="J7" i="26" s="1"/>
  <c r="W116" i="21" a="1"/>
  <c r="S21" i="28" a="1"/>
  <c r="S21" i="28" s="1"/>
  <c r="S20" i="28"/>
  <c r="P20" i="28"/>
  <c r="P22" i="28"/>
  <c r="P21" i="28" a="1"/>
  <c r="P21" i="28" s="1"/>
  <c r="P19" i="28"/>
  <c r="M19" i="28"/>
  <c r="M21" i="28" a="1"/>
  <c r="M21" i="28" s="1"/>
  <c r="M20" i="28"/>
  <c r="J20" i="28"/>
  <c r="R6" i="26" s="1"/>
  <c r="R7" i="26" s="1"/>
  <c r="J22" i="28"/>
  <c r="J5" i="28"/>
  <c r="J19" i="28" s="1"/>
  <c r="R11" i="26" s="1"/>
  <c r="R12" i="26" s="1"/>
  <c r="J21" i="28" a="1"/>
  <c r="J21" i="28" s="1"/>
  <c r="I11" i="26" s="1"/>
  <c r="I12" i="26" s="1"/>
  <c r="G5" i="28"/>
  <c r="G19" i="28" s="1"/>
  <c r="G20" i="28"/>
  <c r="G22" i="28"/>
  <c r="H7" i="26" s="1"/>
  <c r="G21" i="28" a="1"/>
  <c r="G21" i="28" s="1"/>
  <c r="W96" i="21" a="1"/>
  <c r="W96" i="21" s="1"/>
  <c r="W116" i="21"/>
  <c r="Q58" i="21"/>
  <c r="Q39" i="21"/>
  <c r="W39" i="21" a="1"/>
  <c r="W39" i="21" s="1"/>
  <c r="W77" i="21" a="1"/>
  <c r="W77" i="21" s="1"/>
  <c r="W58" i="21" a="1"/>
  <c r="W58" i="21" s="1"/>
  <c r="Q77" i="21"/>
  <c r="J7" i="21"/>
  <c r="J9" i="21"/>
  <c r="J11" i="21"/>
  <c r="J13" i="21"/>
  <c r="J15" i="21"/>
  <c r="J17" i="21"/>
  <c r="J19" i="21"/>
  <c r="Q96" i="21"/>
  <c r="J8" i="21"/>
  <c r="J10" i="21"/>
  <c r="J12" i="21"/>
  <c r="J14" i="21"/>
  <c r="J16" i="21"/>
  <c r="J18" i="21"/>
  <c r="Q116" i="21"/>
  <c r="P115" i="5"/>
  <c r="N115" i="5"/>
  <c r="O115" i="5" s="1"/>
  <c r="P114" i="5"/>
  <c r="N114" i="5"/>
  <c r="O114" i="5" s="1"/>
  <c r="P113" i="5"/>
  <c r="N113" i="5"/>
  <c r="O113" i="5" s="1"/>
  <c r="P112" i="5"/>
  <c r="N112" i="5"/>
  <c r="O112" i="5" s="1"/>
  <c r="P111" i="5"/>
  <c r="N111" i="5"/>
  <c r="O111" i="5" s="1"/>
  <c r="P110" i="5"/>
  <c r="N110" i="5"/>
  <c r="O110" i="5" s="1"/>
  <c r="P109" i="5"/>
  <c r="N109" i="5"/>
  <c r="O109" i="5" s="1"/>
  <c r="P108" i="5"/>
  <c r="N108" i="5"/>
  <c r="O108" i="5" s="1"/>
  <c r="P107" i="5"/>
  <c r="N107" i="5"/>
  <c r="O107" i="5" s="1"/>
  <c r="P106" i="5"/>
  <c r="N106" i="5"/>
  <c r="O106" i="5" s="1"/>
  <c r="P105" i="5"/>
  <c r="N105" i="5"/>
  <c r="O105" i="5" s="1"/>
  <c r="P104" i="5"/>
  <c r="N104" i="5"/>
  <c r="O104" i="5" s="1"/>
  <c r="P103" i="5"/>
  <c r="N103" i="5"/>
  <c r="O103" i="5" s="1"/>
  <c r="Q103" i="5" s="1"/>
  <c r="P102" i="5"/>
  <c r="N102" i="5"/>
  <c r="O102" i="5" s="1"/>
  <c r="P76" i="5"/>
  <c r="N76" i="5"/>
  <c r="O76" i="5" s="1"/>
  <c r="P75" i="5"/>
  <c r="N75" i="5"/>
  <c r="O75" i="5" s="1"/>
  <c r="P74" i="5"/>
  <c r="N74" i="5"/>
  <c r="O74" i="5" s="1"/>
  <c r="P73" i="5"/>
  <c r="N73" i="5"/>
  <c r="O73" i="5" s="1"/>
  <c r="P72" i="5"/>
  <c r="N72" i="5"/>
  <c r="O72" i="5" s="1"/>
  <c r="Q72" i="5" s="1"/>
  <c r="P71" i="5"/>
  <c r="N71" i="5"/>
  <c r="O71" i="5" s="1"/>
  <c r="P70" i="5"/>
  <c r="N70" i="5"/>
  <c r="O70" i="5" s="1"/>
  <c r="P69" i="5"/>
  <c r="N69" i="5"/>
  <c r="O69" i="5" s="1"/>
  <c r="P68" i="5"/>
  <c r="N68" i="5"/>
  <c r="O68" i="5" s="1"/>
  <c r="P67" i="5"/>
  <c r="N67" i="5"/>
  <c r="O67" i="5" s="1"/>
  <c r="P66" i="5"/>
  <c r="N66" i="5"/>
  <c r="O66" i="5" s="1"/>
  <c r="P65" i="5"/>
  <c r="N65" i="5"/>
  <c r="O65" i="5" s="1"/>
  <c r="P64" i="5"/>
  <c r="N64" i="5"/>
  <c r="O64" i="5" s="1"/>
  <c r="Q64" i="5" s="1"/>
  <c r="P63" i="5"/>
  <c r="N63" i="5"/>
  <c r="O63" i="5" s="1"/>
  <c r="P57" i="5"/>
  <c r="N57" i="5"/>
  <c r="O57" i="5" s="1"/>
  <c r="P56" i="5"/>
  <c r="N56" i="5"/>
  <c r="O56" i="5" s="1"/>
  <c r="P55" i="5"/>
  <c r="N55" i="5"/>
  <c r="O55" i="5" s="1"/>
  <c r="P54" i="5"/>
  <c r="N54" i="5"/>
  <c r="O54" i="5" s="1"/>
  <c r="P53" i="5"/>
  <c r="N53" i="5"/>
  <c r="O53" i="5" s="1"/>
  <c r="Q53" i="5" s="1"/>
  <c r="P52" i="5"/>
  <c r="N52" i="5"/>
  <c r="O52" i="5" s="1"/>
  <c r="P51" i="5"/>
  <c r="N51" i="5"/>
  <c r="O51" i="5" s="1"/>
  <c r="P50" i="5"/>
  <c r="N50" i="5"/>
  <c r="O50" i="5" s="1"/>
  <c r="P49" i="5"/>
  <c r="N49" i="5"/>
  <c r="O49" i="5" s="1"/>
  <c r="P48" i="5"/>
  <c r="N48" i="5"/>
  <c r="O48" i="5" s="1"/>
  <c r="P47" i="5"/>
  <c r="N47" i="5"/>
  <c r="O47" i="5" s="1"/>
  <c r="P46" i="5"/>
  <c r="N46" i="5"/>
  <c r="O46" i="5" s="1"/>
  <c r="P45" i="5"/>
  <c r="N45" i="5"/>
  <c r="O45" i="5" s="1"/>
  <c r="Q45" i="5" s="1"/>
  <c r="P44" i="5"/>
  <c r="N44" i="5"/>
  <c r="O44" i="5" s="1"/>
  <c r="P95" i="5"/>
  <c r="N95" i="5"/>
  <c r="O95" i="5" s="1"/>
  <c r="P94" i="5"/>
  <c r="N94" i="5"/>
  <c r="O94" i="5" s="1"/>
  <c r="P93" i="5"/>
  <c r="N93" i="5"/>
  <c r="O93" i="5" s="1"/>
  <c r="P92" i="5"/>
  <c r="N92" i="5"/>
  <c r="O92" i="5" s="1"/>
  <c r="P91" i="5"/>
  <c r="N91" i="5"/>
  <c r="O91" i="5" s="1"/>
  <c r="P90" i="5"/>
  <c r="N90" i="5"/>
  <c r="O90" i="5" s="1"/>
  <c r="P89" i="5"/>
  <c r="N89" i="5"/>
  <c r="O89" i="5" s="1"/>
  <c r="P88" i="5"/>
  <c r="N88" i="5"/>
  <c r="O88" i="5" s="1"/>
  <c r="P87" i="5"/>
  <c r="N87" i="5"/>
  <c r="O87" i="5" s="1"/>
  <c r="P86" i="5"/>
  <c r="N86" i="5"/>
  <c r="O86" i="5" s="1"/>
  <c r="P85" i="5"/>
  <c r="N85" i="5"/>
  <c r="O85" i="5" s="1"/>
  <c r="P84" i="5"/>
  <c r="N84" i="5"/>
  <c r="O84" i="5" s="1"/>
  <c r="P83" i="5"/>
  <c r="N83" i="5"/>
  <c r="O83" i="5" s="1"/>
  <c r="P82" i="5"/>
  <c r="N82" i="5"/>
  <c r="O82" i="5" s="1"/>
  <c r="I6" i="26" l="1"/>
  <c r="I7" i="26" s="1"/>
  <c r="S19" i="28"/>
  <c r="L7" i="26"/>
  <c r="K7" i="26"/>
  <c r="O17" i="27"/>
  <c r="P17" i="27" s="1"/>
  <c r="V94" i="5"/>
  <c r="V95" i="5"/>
  <c r="O18" i="27"/>
  <c r="P18" i="27" s="1"/>
  <c r="O16" i="27"/>
  <c r="P16" i="27" s="1"/>
  <c r="V93" i="5"/>
  <c r="V92" i="5"/>
  <c r="O15" i="27"/>
  <c r="P15" i="27" s="1"/>
  <c r="V91" i="5"/>
  <c r="O14" i="27"/>
  <c r="P14" i="27" s="1"/>
  <c r="O13" i="27"/>
  <c r="P13" i="27" s="1"/>
  <c r="V90" i="5"/>
  <c r="O12" i="27"/>
  <c r="P12" i="27" s="1"/>
  <c r="V89" i="5"/>
  <c r="O11" i="27"/>
  <c r="P11" i="27" s="1"/>
  <c r="V88" i="5"/>
  <c r="V87" i="5"/>
  <c r="O10" i="27"/>
  <c r="P10" i="27" s="1"/>
  <c r="O9" i="27"/>
  <c r="P9" i="27" s="1"/>
  <c r="V86" i="5"/>
  <c r="O8" i="27"/>
  <c r="P8" i="27" s="1"/>
  <c r="V85" i="5"/>
  <c r="O7" i="27"/>
  <c r="P7" i="27" s="1"/>
  <c r="V84" i="5"/>
  <c r="V83" i="5"/>
  <c r="O6" i="27"/>
  <c r="P6" i="27" s="1"/>
  <c r="O5" i="27"/>
  <c r="X96" i="5" a="1"/>
  <c r="X96" i="5" s="1"/>
  <c r="S96" i="5"/>
  <c r="V82" i="5"/>
  <c r="L18" i="27"/>
  <c r="M18" i="27" s="1"/>
  <c r="V76" i="5"/>
  <c r="V75" i="5"/>
  <c r="L17" i="27"/>
  <c r="M17" i="27" s="1"/>
  <c r="L16" i="27"/>
  <c r="M16" i="27" s="1"/>
  <c r="V74" i="5"/>
  <c r="V73" i="5"/>
  <c r="L15" i="27"/>
  <c r="M15" i="27" s="1"/>
  <c r="V72" i="5"/>
  <c r="L14" i="27"/>
  <c r="M14" i="27" s="1"/>
  <c r="V71" i="5"/>
  <c r="L13" i="27"/>
  <c r="M13" i="27" s="1"/>
  <c r="V70" i="5"/>
  <c r="L12" i="27"/>
  <c r="M12" i="27" s="1"/>
  <c r="V69" i="5"/>
  <c r="L11" i="27"/>
  <c r="M11" i="27" s="1"/>
  <c r="L10" i="27"/>
  <c r="M10" i="27" s="1"/>
  <c r="V68" i="5"/>
  <c r="L9" i="27"/>
  <c r="M9" i="27" s="1"/>
  <c r="V67" i="5"/>
  <c r="L8" i="27"/>
  <c r="M8" i="27" s="1"/>
  <c r="V66" i="5"/>
  <c r="L7" i="27"/>
  <c r="M7" i="27" s="1"/>
  <c r="V65" i="5"/>
  <c r="L6" i="27"/>
  <c r="M6" i="27" s="1"/>
  <c r="V64" i="5"/>
  <c r="X77" i="5" a="1"/>
  <c r="X77" i="5" s="1"/>
  <c r="S77" i="5"/>
  <c r="V63" i="5"/>
  <c r="L5" i="27"/>
  <c r="R16" i="27"/>
  <c r="S16" i="27" s="1"/>
  <c r="V113" i="5"/>
  <c r="R13" i="27"/>
  <c r="S13" i="27" s="1"/>
  <c r="V110" i="5"/>
  <c r="X116" i="5" a="1"/>
  <c r="X116" i="5" s="1"/>
  <c r="R5" i="27"/>
  <c r="S116" i="5"/>
  <c r="V102" i="5"/>
  <c r="R17" i="27"/>
  <c r="S17" i="27" s="1"/>
  <c r="V114" i="5"/>
  <c r="R14" i="27"/>
  <c r="S14" i="27" s="1"/>
  <c r="V111" i="5"/>
  <c r="R12" i="27"/>
  <c r="S12" i="27" s="1"/>
  <c r="V109" i="5"/>
  <c r="V115" i="5"/>
  <c r="R18" i="27"/>
  <c r="S18" i="27" s="1"/>
  <c r="R8" i="27"/>
  <c r="S8" i="27" s="1"/>
  <c r="V105" i="5"/>
  <c r="R9" i="27"/>
  <c r="S9" i="27" s="1"/>
  <c r="V106" i="5"/>
  <c r="R6" i="27"/>
  <c r="S6" i="27" s="1"/>
  <c r="V103" i="5"/>
  <c r="R10" i="27"/>
  <c r="S10" i="27" s="1"/>
  <c r="V107" i="5"/>
  <c r="Q104" i="5"/>
  <c r="R7" i="27"/>
  <c r="S7" i="27" s="1"/>
  <c r="V104" i="5"/>
  <c r="R11" i="27"/>
  <c r="S11" i="27" s="1"/>
  <c r="V108" i="5"/>
  <c r="R15" i="27"/>
  <c r="S15" i="27" s="1"/>
  <c r="V112" i="5"/>
  <c r="V47" i="5"/>
  <c r="I8" i="27"/>
  <c r="J8" i="27" s="1"/>
  <c r="I17" i="27"/>
  <c r="J17" i="27" s="1"/>
  <c r="V56" i="5"/>
  <c r="Q55" i="5"/>
  <c r="V55" i="5"/>
  <c r="I16" i="27"/>
  <c r="J16" i="27" s="1"/>
  <c r="S58" i="5"/>
  <c r="I5" i="27"/>
  <c r="X58" i="5" a="1"/>
  <c r="X58" i="5" s="1"/>
  <c r="V44" i="5"/>
  <c r="I9" i="27"/>
  <c r="J9" i="27" s="1"/>
  <c r="V48" i="5"/>
  <c r="I6" i="27"/>
  <c r="J6" i="27" s="1"/>
  <c r="V45" i="5"/>
  <c r="I10" i="27"/>
  <c r="J10" i="27" s="1"/>
  <c r="V49" i="5"/>
  <c r="I14" i="27"/>
  <c r="J14" i="27" s="1"/>
  <c r="V53" i="5"/>
  <c r="I18" i="27"/>
  <c r="J18" i="27" s="1"/>
  <c r="V57" i="5"/>
  <c r="I12" i="27"/>
  <c r="J12" i="27" s="1"/>
  <c r="V51" i="5"/>
  <c r="Q52" i="5"/>
  <c r="I13" i="27"/>
  <c r="J13" i="27" s="1"/>
  <c r="V52" i="5"/>
  <c r="Q46" i="5"/>
  <c r="I7" i="27"/>
  <c r="J7" i="27" s="1"/>
  <c r="V46" i="5"/>
  <c r="I11" i="27"/>
  <c r="J11" i="27" s="1"/>
  <c r="V50" i="5"/>
  <c r="V54" i="5"/>
  <c r="I15" i="27"/>
  <c r="J15" i="27" s="1"/>
  <c r="P177" i="21"/>
  <c r="Q65" i="5"/>
  <c r="Q76" i="5"/>
  <c r="Q74" i="5"/>
  <c r="Q73" i="5"/>
  <c r="Q71" i="5"/>
  <c r="Q69" i="5"/>
  <c r="Q68" i="5"/>
  <c r="Q67" i="5"/>
  <c r="Q66" i="5"/>
  <c r="Q63" i="5"/>
  <c r="U77" i="5"/>
  <c r="Q115" i="5"/>
  <c r="Q113" i="5"/>
  <c r="Q112" i="5"/>
  <c r="Q110" i="5"/>
  <c r="Q108" i="5"/>
  <c r="Q107" i="5"/>
  <c r="Q106" i="5"/>
  <c r="Q105" i="5"/>
  <c r="Q102" i="5"/>
  <c r="U116" i="5"/>
  <c r="Q95" i="5"/>
  <c r="Q93" i="5"/>
  <c r="Q92" i="5"/>
  <c r="Q90" i="5"/>
  <c r="Q88" i="5"/>
  <c r="Q87" i="5"/>
  <c r="Q86" i="5"/>
  <c r="Q85" i="5"/>
  <c r="Q84" i="5"/>
  <c r="Q82" i="5"/>
  <c r="U96" i="5"/>
  <c r="Q57" i="5"/>
  <c r="P188" i="21"/>
  <c r="Q54" i="5"/>
  <c r="Q50" i="5"/>
  <c r="Q49" i="5"/>
  <c r="Q48" i="5"/>
  <c r="Q47" i="5"/>
  <c r="Q44" i="5"/>
  <c r="U58" i="5"/>
  <c r="P22" i="27" l="1"/>
  <c r="P21" i="27" a="1"/>
  <c r="P21" i="27" s="1"/>
  <c r="P5" i="27"/>
  <c r="P19" i="27" s="1"/>
  <c r="P20" i="27"/>
  <c r="M21" i="27" a="1"/>
  <c r="M21" i="27" s="1"/>
  <c r="M20" i="27"/>
  <c r="M22" i="27"/>
  <c r="M5" i="27"/>
  <c r="M19" i="27" s="1"/>
  <c r="S22" i="27"/>
  <c r="S20" i="27"/>
  <c r="S21" i="27" a="1"/>
  <c r="S21" i="27" s="1"/>
  <c r="S5" i="27"/>
  <c r="S19" i="27" s="1"/>
  <c r="J21" i="27" a="1"/>
  <c r="J21" i="27" s="1"/>
  <c r="J5" i="27"/>
  <c r="J19" i="27" s="1"/>
  <c r="J20" i="27"/>
  <c r="J22" i="27"/>
  <c r="W77" i="5" a="1"/>
  <c r="W116" i="5" a="1"/>
  <c r="W58" i="5" a="1"/>
  <c r="W58" i="5" s="1"/>
  <c r="W96" i="5" a="1"/>
  <c r="W77" i="5"/>
  <c r="Q77" i="5"/>
  <c r="Q116" i="5"/>
  <c r="W116" i="5"/>
  <c r="W96" i="5"/>
  <c r="Q96" i="5"/>
  <c r="Q58" i="5"/>
  <c r="I11" i="1"/>
  <c r="J11" i="1" s="1"/>
  <c r="N25" i="5" l="1"/>
  <c r="O25" i="5" s="1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N26" i="5"/>
  <c r="O26" i="5" s="1"/>
  <c r="N27" i="5"/>
  <c r="O27" i="5" s="1"/>
  <c r="N28" i="5"/>
  <c r="O28" i="5" s="1"/>
  <c r="N29" i="5"/>
  <c r="O29" i="5" s="1"/>
  <c r="N30" i="5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6" i="5"/>
  <c r="V33" i="5" l="1"/>
  <c r="F13" i="27"/>
  <c r="G13" i="27" s="1"/>
  <c r="F11" i="27"/>
  <c r="G11" i="27" s="1"/>
  <c r="V31" i="5"/>
  <c r="V34" i="5"/>
  <c r="F14" i="27"/>
  <c r="G14" i="27" s="1"/>
  <c r="V38" i="5"/>
  <c r="F18" i="27"/>
  <c r="G18" i="27" s="1"/>
  <c r="F6" i="27"/>
  <c r="G6" i="27" s="1"/>
  <c r="V26" i="5"/>
  <c r="F17" i="27"/>
  <c r="G17" i="27" s="1"/>
  <c r="V37" i="5"/>
  <c r="F9" i="27"/>
  <c r="G9" i="27" s="1"/>
  <c r="V29" i="5"/>
  <c r="F8" i="27"/>
  <c r="G8" i="27" s="1"/>
  <c r="V28" i="5"/>
  <c r="F12" i="27"/>
  <c r="G12" i="27" s="1"/>
  <c r="V32" i="5"/>
  <c r="F16" i="27"/>
  <c r="G16" i="27" s="1"/>
  <c r="V36" i="5"/>
  <c r="V35" i="5"/>
  <c r="F15" i="27"/>
  <c r="G15" i="27" s="1"/>
  <c r="V27" i="5"/>
  <c r="F7" i="27"/>
  <c r="G7" i="27" s="1"/>
  <c r="F5" i="27"/>
  <c r="V25" i="5"/>
  <c r="S39" i="5"/>
  <c r="Q36" i="5"/>
  <c r="O188" i="21"/>
  <c r="Q38" i="5"/>
  <c r="Q28" i="5"/>
  <c r="Q25" i="5"/>
  <c r="O176" i="21" s="1"/>
  <c r="Q35" i="5"/>
  <c r="Q33" i="5"/>
  <c r="Q31" i="5"/>
  <c r="O30" i="5"/>
  <c r="X39" i="5" s="1" a="1"/>
  <c r="X39" i="5" s="1"/>
  <c r="Q29" i="5"/>
  <c r="F10" i="27" l="1"/>
  <c r="G10" i="27" s="1"/>
  <c r="V30" i="5"/>
  <c r="G5" i="27"/>
  <c r="Q30" i="5"/>
  <c r="U39" i="5"/>
  <c r="O177" i="21"/>
  <c r="G22" i="27" l="1"/>
  <c r="G21" i="27" a="1"/>
  <c r="G21" i="27" s="1"/>
  <c r="G19" i="27"/>
  <c r="G20" i="27"/>
  <c r="Q39" i="5"/>
  <c r="W39" i="5" a="1"/>
  <c r="W39" i="5" s="1"/>
  <c r="I12" i="4"/>
  <c r="J12" i="4" s="1"/>
  <c r="I13" i="5" l="1"/>
  <c r="J13" i="5" s="1"/>
  <c r="I16" i="5"/>
  <c r="J16" i="5" l="1"/>
  <c r="I19" i="5" l="1"/>
  <c r="I18" i="5"/>
  <c r="J18" i="5" s="1"/>
  <c r="I17" i="5"/>
  <c r="J17" i="5" s="1"/>
  <c r="I15" i="5"/>
  <c r="I14" i="5"/>
  <c r="J14" i="5" s="1"/>
  <c r="I12" i="5"/>
  <c r="I11" i="5"/>
  <c r="I10" i="5"/>
  <c r="J10" i="5" s="1"/>
  <c r="I9" i="5"/>
  <c r="J9" i="5" s="1"/>
  <c r="I8" i="5"/>
  <c r="I7" i="5"/>
  <c r="I6" i="5"/>
  <c r="J6" i="5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6" i="1"/>
  <c r="J6" i="1" s="1"/>
  <c r="I7" i="1"/>
  <c r="J7" i="1" s="1"/>
  <c r="I8" i="1"/>
  <c r="J8" i="1" s="1"/>
  <c r="I9" i="1"/>
  <c r="J9" i="1" s="1"/>
  <c r="I10" i="1"/>
  <c r="J10" i="1" s="1"/>
  <c r="I12" i="1"/>
  <c r="J12" i="1" s="1"/>
  <c r="K13" i="21" s="1"/>
  <c r="I13" i="1"/>
  <c r="J13" i="1" s="1"/>
  <c r="K14" i="21" s="1"/>
  <c r="I14" i="1"/>
  <c r="J14" i="1" s="1"/>
  <c r="I15" i="1"/>
  <c r="J15" i="1" s="1"/>
  <c r="I16" i="1"/>
  <c r="J16" i="1" s="1"/>
  <c r="K17" i="21" s="1"/>
  <c r="I17" i="1"/>
  <c r="J17" i="1" s="1"/>
  <c r="I18" i="1"/>
  <c r="J18" i="1" s="1"/>
  <c r="I5" i="4"/>
  <c r="J5" i="4" s="1"/>
  <c r="I5" i="1"/>
  <c r="J5" i="1" s="1"/>
  <c r="K10" i="21" l="1"/>
  <c r="N10" i="21" s="1"/>
  <c r="O10" i="21" s="1"/>
  <c r="Q10" i="21" s="1"/>
  <c r="N14" i="21"/>
  <c r="O14" i="21" s="1"/>
  <c r="Q14" i="21" s="1"/>
  <c r="L14" i="21"/>
  <c r="B13" i="25" s="1"/>
  <c r="D13" i="25" s="1"/>
  <c r="K5" i="4"/>
  <c r="L5" i="4" s="1"/>
  <c r="D5" i="14" s="1"/>
  <c r="K6" i="21"/>
  <c r="N13" i="21"/>
  <c r="O13" i="21" s="1"/>
  <c r="Q13" i="21" s="1"/>
  <c r="L13" i="21"/>
  <c r="B12" i="25" s="1"/>
  <c r="D12" i="25" s="1"/>
  <c r="K18" i="21"/>
  <c r="K9" i="21"/>
  <c r="N17" i="21"/>
  <c r="O17" i="21" s="1"/>
  <c r="Q17" i="21" s="1"/>
  <c r="L17" i="21"/>
  <c r="B16" i="25" s="1"/>
  <c r="D16" i="25" s="1"/>
  <c r="K16" i="21"/>
  <c r="K15" i="5"/>
  <c r="K9" i="5"/>
  <c r="K12" i="5"/>
  <c r="K7" i="5"/>
  <c r="K19" i="5"/>
  <c r="K18" i="5"/>
  <c r="K16" i="5"/>
  <c r="K14" i="5"/>
  <c r="K11" i="5"/>
  <c r="J12" i="5"/>
  <c r="K12" i="21" s="1"/>
  <c r="K10" i="5"/>
  <c r="J15" i="5"/>
  <c r="K15" i="21" s="1"/>
  <c r="J7" i="5"/>
  <c r="K7" i="21" s="1"/>
  <c r="K17" i="5"/>
  <c r="K8" i="5"/>
  <c r="J8" i="5"/>
  <c r="K8" i="21" s="1"/>
  <c r="J19" i="5"/>
  <c r="K19" i="21" s="1"/>
  <c r="K13" i="5"/>
  <c r="F12" i="22" s="1"/>
  <c r="C33" i="22" s="1"/>
  <c r="K12" i="4"/>
  <c r="L12" i="4" s="1"/>
  <c r="D12" i="14" s="1"/>
  <c r="F12" i="14" s="1"/>
  <c r="C33" i="14" s="1"/>
  <c r="J11" i="5"/>
  <c r="K11" i="21" s="1"/>
  <c r="K17" i="4"/>
  <c r="L17" i="4" s="1"/>
  <c r="D17" i="14" s="1"/>
  <c r="F17" i="14" s="1"/>
  <c r="C38" i="14" s="1"/>
  <c r="K7" i="4"/>
  <c r="L7" i="4" s="1"/>
  <c r="D7" i="14" s="1"/>
  <c r="F7" i="14" s="1"/>
  <c r="C28" i="14" s="1"/>
  <c r="K18" i="4"/>
  <c r="L18" i="4" s="1"/>
  <c r="D18" i="14" s="1"/>
  <c r="F18" i="14" s="1"/>
  <c r="C39" i="14" s="1"/>
  <c r="K14" i="4"/>
  <c r="L14" i="4" s="1"/>
  <c r="D14" i="14" s="1"/>
  <c r="F14" i="14" s="1"/>
  <c r="C35" i="14" s="1"/>
  <c r="K10" i="4"/>
  <c r="L10" i="4" s="1"/>
  <c r="D10" i="14" s="1"/>
  <c r="F10" i="14" s="1"/>
  <c r="C31" i="14" s="1"/>
  <c r="G31" i="14" s="1"/>
  <c r="K6" i="4"/>
  <c r="L6" i="4" s="1"/>
  <c r="D6" i="14" s="1"/>
  <c r="F6" i="14" s="1"/>
  <c r="C27" i="14" s="1"/>
  <c r="K13" i="4"/>
  <c r="L13" i="4" s="1"/>
  <c r="D13" i="14" s="1"/>
  <c r="F13" i="14" s="1"/>
  <c r="C34" i="14" s="1"/>
  <c r="K9" i="4"/>
  <c r="L9" i="4" s="1"/>
  <c r="D9" i="14" s="1"/>
  <c r="F9" i="14" s="1"/>
  <c r="C30" i="14" s="1"/>
  <c r="K6" i="5"/>
  <c r="F5" i="22" s="1"/>
  <c r="C26" i="22" s="1"/>
  <c r="K16" i="4"/>
  <c r="L16" i="4" s="1"/>
  <c r="D16" i="14" s="1"/>
  <c r="F16" i="14" s="1"/>
  <c r="C37" i="14" s="1"/>
  <c r="K8" i="4"/>
  <c r="L8" i="4" s="1"/>
  <c r="D8" i="14" s="1"/>
  <c r="F8" i="14" s="1"/>
  <c r="C29" i="14" s="1"/>
  <c r="K15" i="4"/>
  <c r="L15" i="4" s="1"/>
  <c r="D15" i="14" s="1"/>
  <c r="F15" i="14" s="1"/>
  <c r="C36" i="14" s="1"/>
  <c r="K11" i="4"/>
  <c r="L11" i="4" s="1"/>
  <c r="D11" i="14" s="1"/>
  <c r="F11" i="14" s="1"/>
  <c r="C32" i="14" s="1"/>
  <c r="L10" i="21" l="1"/>
  <c r="B9" i="25" s="1"/>
  <c r="D9" i="25" s="1"/>
  <c r="C12" i="28"/>
  <c r="D12" i="28" s="1"/>
  <c r="V13" i="21"/>
  <c r="V17" i="21"/>
  <c r="C16" i="28"/>
  <c r="D16" i="28" s="1"/>
  <c r="V10" i="21"/>
  <c r="C9" i="28"/>
  <c r="D9" i="28" s="1"/>
  <c r="C13" i="28"/>
  <c r="D13" i="28" s="1"/>
  <c r="V14" i="21"/>
  <c r="G36" i="14"/>
  <c r="H36" i="14"/>
  <c r="G35" i="14"/>
  <c r="F35" i="14"/>
  <c r="F29" i="14"/>
  <c r="E29" i="14"/>
  <c r="G39" i="14"/>
  <c r="F39" i="14"/>
  <c r="I33" i="22"/>
  <c r="H33" i="22"/>
  <c r="F26" i="22"/>
  <c r="E26" i="22"/>
  <c r="L38" i="14"/>
  <c r="M38" i="14"/>
  <c r="E32" i="14"/>
  <c r="F32" i="14"/>
  <c r="N37" i="14"/>
  <c r="M37" i="14"/>
  <c r="F31" i="14"/>
  <c r="E30" i="14"/>
  <c r="F30" i="14"/>
  <c r="F34" i="14"/>
  <c r="G34" i="14"/>
  <c r="H33" i="14"/>
  <c r="G33" i="14"/>
  <c r="G27" i="14"/>
  <c r="F27" i="14"/>
  <c r="F28" i="14"/>
  <c r="E28" i="14"/>
  <c r="N8" i="21"/>
  <c r="O8" i="21" s="1"/>
  <c r="Q8" i="21" s="1"/>
  <c r="L8" i="21"/>
  <c r="B7" i="25" s="1"/>
  <c r="D7" i="25" s="1"/>
  <c r="N19" i="21"/>
  <c r="O19" i="21" s="1"/>
  <c r="Q19" i="21" s="1"/>
  <c r="L19" i="21"/>
  <c r="B18" i="25" s="1"/>
  <c r="D18" i="25" s="1"/>
  <c r="N12" i="21"/>
  <c r="O12" i="21" s="1"/>
  <c r="Q12" i="21" s="1"/>
  <c r="L12" i="21"/>
  <c r="B11" i="25" s="1"/>
  <c r="D11" i="25" s="1"/>
  <c r="N7" i="21"/>
  <c r="O7" i="21" s="1"/>
  <c r="Q7" i="21" s="1"/>
  <c r="L7" i="21"/>
  <c r="B6" i="25" s="1"/>
  <c r="D6" i="25" s="1"/>
  <c r="N11" i="21"/>
  <c r="O11" i="21" s="1"/>
  <c r="Q11" i="21" s="1"/>
  <c r="L11" i="21"/>
  <c r="B10" i="25" s="1"/>
  <c r="D10" i="25" s="1"/>
  <c r="N15" i="21"/>
  <c r="O15" i="21" s="1"/>
  <c r="Q15" i="21" s="1"/>
  <c r="L15" i="21"/>
  <c r="B14" i="25" s="1"/>
  <c r="D14" i="25" s="1"/>
  <c r="N8" i="5"/>
  <c r="O8" i="5" s="1"/>
  <c r="F7" i="22"/>
  <c r="C28" i="22" s="1"/>
  <c r="N19" i="5"/>
  <c r="O19" i="5" s="1"/>
  <c r="F18" i="22"/>
  <c r="C39" i="22" s="1"/>
  <c r="N7" i="5"/>
  <c r="O7" i="5" s="1"/>
  <c r="F6" i="22"/>
  <c r="C27" i="22" s="1"/>
  <c r="N10" i="5"/>
  <c r="O10" i="5" s="1"/>
  <c r="F9" i="22"/>
  <c r="C30" i="22" s="1"/>
  <c r="N12" i="5"/>
  <c r="O12" i="5" s="1"/>
  <c r="F11" i="22"/>
  <c r="C32" i="22" s="1"/>
  <c r="N11" i="5"/>
  <c r="O11" i="5" s="1"/>
  <c r="F10" i="22"/>
  <c r="C31" i="22" s="1"/>
  <c r="N9" i="5"/>
  <c r="O9" i="5" s="1"/>
  <c r="F8" i="22"/>
  <c r="C29" i="22" s="1"/>
  <c r="N9" i="21"/>
  <c r="O9" i="21" s="1"/>
  <c r="Q9" i="21" s="1"/>
  <c r="L9" i="21"/>
  <c r="B8" i="25" s="1"/>
  <c r="D8" i="25" s="1"/>
  <c r="N6" i="21"/>
  <c r="O6" i="21" s="1"/>
  <c r="Q6" i="21" s="1"/>
  <c r="L6" i="21"/>
  <c r="B5" i="25" s="1"/>
  <c r="D5" i="25" s="1"/>
  <c r="N15" i="5"/>
  <c r="O15" i="5" s="1"/>
  <c r="Q15" i="5" s="1"/>
  <c r="F14" i="22"/>
  <c r="C35" i="22" s="1"/>
  <c r="N18" i="21"/>
  <c r="O18" i="21" s="1"/>
  <c r="Q18" i="21" s="1"/>
  <c r="L18" i="21"/>
  <c r="B17" i="25" s="1"/>
  <c r="D17" i="25" s="1"/>
  <c r="N14" i="5"/>
  <c r="O14" i="5" s="1"/>
  <c r="F13" i="22"/>
  <c r="C34" i="22" s="1"/>
  <c r="N16" i="5"/>
  <c r="O16" i="5" s="1"/>
  <c r="F15" i="22"/>
  <c r="C36" i="22" s="1"/>
  <c r="N16" i="21"/>
  <c r="O16" i="21" s="1"/>
  <c r="Q16" i="21" s="1"/>
  <c r="L16" i="21"/>
  <c r="B15" i="25" s="1"/>
  <c r="D15" i="25" s="1"/>
  <c r="N17" i="5"/>
  <c r="O17" i="5" s="1"/>
  <c r="F16" i="22"/>
  <c r="C37" i="22" s="1"/>
  <c r="N18" i="5"/>
  <c r="O18" i="5" s="1"/>
  <c r="F17" i="22"/>
  <c r="C38" i="22" s="1"/>
  <c r="F5" i="14"/>
  <c r="C26" i="14" s="1"/>
  <c r="L9" i="5"/>
  <c r="E8" i="14" s="1"/>
  <c r="L18" i="5"/>
  <c r="E17" i="14" s="1"/>
  <c r="L10" i="5"/>
  <c r="E9" i="14" s="1"/>
  <c r="L12" i="5"/>
  <c r="E11" i="14" s="1"/>
  <c r="L14" i="5"/>
  <c r="E13" i="14" s="1"/>
  <c r="L17" i="5"/>
  <c r="E16" i="14" s="1"/>
  <c r="L7" i="5"/>
  <c r="E6" i="14" s="1"/>
  <c r="L19" i="5"/>
  <c r="E18" i="14" s="1"/>
  <c r="H18" i="14" s="1"/>
  <c r="C81" i="14" s="1"/>
  <c r="L15" i="5"/>
  <c r="E14" i="14" s="1"/>
  <c r="L11" i="5"/>
  <c r="E10" i="14" s="1"/>
  <c r="L16" i="5"/>
  <c r="E15" i="14" s="1"/>
  <c r="H15" i="14" s="1"/>
  <c r="C78" i="14" s="1"/>
  <c r="L8" i="5"/>
  <c r="E7" i="14" s="1"/>
  <c r="L6" i="5"/>
  <c r="E5" i="14" s="1"/>
  <c r="N6" i="5"/>
  <c r="O6" i="5" s="1"/>
  <c r="N13" i="5"/>
  <c r="O13" i="5" s="1"/>
  <c r="L13" i="5"/>
  <c r="E12" i="14" s="1"/>
  <c r="C15" i="28" l="1"/>
  <c r="D15" i="28" s="1"/>
  <c r="V16" i="21"/>
  <c r="C6" i="28"/>
  <c r="D6" i="28" s="1"/>
  <c r="V7" i="21"/>
  <c r="C5" i="28"/>
  <c r="V6" i="21"/>
  <c r="S20" i="21"/>
  <c r="X20" i="21" a="1"/>
  <c r="X20" i="21" s="1"/>
  <c r="C11" i="28"/>
  <c r="D11" i="28" s="1"/>
  <c r="V12" i="21"/>
  <c r="V9" i="21"/>
  <c r="C8" i="28"/>
  <c r="D8" i="28" s="1"/>
  <c r="C14" i="28"/>
  <c r="D14" i="28" s="1"/>
  <c r="V15" i="21"/>
  <c r="C18" i="28"/>
  <c r="D18" i="28" s="1"/>
  <c r="V19" i="21"/>
  <c r="V18" i="21"/>
  <c r="C17" i="28"/>
  <c r="D17" i="28" s="1"/>
  <c r="C10" i="28"/>
  <c r="D10" i="28" s="1"/>
  <c r="V11" i="21"/>
  <c r="C7" i="28"/>
  <c r="D7" i="28" s="1"/>
  <c r="V8" i="21"/>
  <c r="C10" i="27"/>
  <c r="D10" i="27" s="1"/>
  <c r="V11" i="5"/>
  <c r="C16" i="27"/>
  <c r="D16" i="27" s="1"/>
  <c r="V17" i="5"/>
  <c r="C14" i="27"/>
  <c r="D14" i="27" s="1"/>
  <c r="V15" i="5"/>
  <c r="C18" i="27"/>
  <c r="D18" i="27" s="1"/>
  <c r="V19" i="5"/>
  <c r="C9" i="27"/>
  <c r="D9" i="27" s="1"/>
  <c r="V10" i="5"/>
  <c r="C6" i="27"/>
  <c r="D6" i="27" s="1"/>
  <c r="V7" i="5"/>
  <c r="C15" i="27"/>
  <c r="D15" i="27" s="1"/>
  <c r="V16" i="5"/>
  <c r="C11" i="27"/>
  <c r="D11" i="27" s="1"/>
  <c r="V12" i="5"/>
  <c r="C7" i="27"/>
  <c r="D7" i="27" s="1"/>
  <c r="V8" i="5"/>
  <c r="V14" i="5"/>
  <c r="C13" i="27"/>
  <c r="D13" i="27" s="1"/>
  <c r="C8" i="27"/>
  <c r="D8" i="27" s="1"/>
  <c r="V9" i="5"/>
  <c r="C12" i="27"/>
  <c r="D12" i="27" s="1"/>
  <c r="V13" i="5"/>
  <c r="X20" i="5" a="1"/>
  <c r="X20" i="5" s="1"/>
  <c r="V6" i="5"/>
  <c r="C5" i="27"/>
  <c r="S20" i="5"/>
  <c r="V18" i="5"/>
  <c r="C17" i="27"/>
  <c r="D17" i="27" s="1"/>
  <c r="G35" i="22"/>
  <c r="F35" i="22"/>
  <c r="F27" i="22"/>
  <c r="E27" i="22"/>
  <c r="E38" i="22"/>
  <c r="F38" i="22"/>
  <c r="F37" i="22"/>
  <c r="E37" i="22"/>
  <c r="H31" i="22"/>
  <c r="G31" i="22"/>
  <c r="E36" i="22"/>
  <c r="D36" i="22"/>
  <c r="E34" i="22"/>
  <c r="F34" i="22"/>
  <c r="E28" i="22"/>
  <c r="D28" i="22"/>
  <c r="F30" i="22"/>
  <c r="E30" i="22"/>
  <c r="E78" i="14"/>
  <c r="D78" i="14"/>
  <c r="E29" i="22"/>
  <c r="F29" i="22"/>
  <c r="H26" i="14"/>
  <c r="I26" i="14"/>
  <c r="Q19" i="5"/>
  <c r="Q17" i="5"/>
  <c r="Q16" i="5"/>
  <c r="Q14" i="5"/>
  <c r="Q12" i="5"/>
  <c r="Q11" i="5"/>
  <c r="Q10" i="5"/>
  <c r="Q9" i="5"/>
  <c r="Q6" i="5"/>
  <c r="U20" i="5"/>
  <c r="U20" i="21"/>
  <c r="H6" i="14"/>
  <c r="C69" i="14" s="1"/>
  <c r="G5" i="14"/>
  <c r="G17" i="14"/>
  <c r="H16" i="14"/>
  <c r="C79" i="14" s="1"/>
  <c r="H7" i="14"/>
  <c r="C70" i="14" s="1"/>
  <c r="G8" i="14"/>
  <c r="H11" i="14"/>
  <c r="C74" i="14" s="1"/>
  <c r="G12" i="14"/>
  <c r="H13" i="14"/>
  <c r="C76" i="14" s="1"/>
  <c r="G14" i="14"/>
  <c r="H9" i="14"/>
  <c r="C72" i="14" s="1"/>
  <c r="G10" i="14"/>
  <c r="G7" i="14"/>
  <c r="H12" i="14"/>
  <c r="C75" i="14" s="1"/>
  <c r="G11" i="14"/>
  <c r="H10" i="14"/>
  <c r="C73" i="14" s="1"/>
  <c r="G18" i="14"/>
  <c r="H17" i="14"/>
  <c r="C80" i="14" s="1"/>
  <c r="G16" i="14"/>
  <c r="G6" i="14"/>
  <c r="H5" i="14"/>
  <c r="C68" i="14" s="1"/>
  <c r="G15" i="14"/>
  <c r="H14" i="14"/>
  <c r="C77" i="14" s="1"/>
  <c r="G13" i="14"/>
  <c r="G9" i="14"/>
  <c r="H8" i="14"/>
  <c r="C71" i="14" s="1"/>
  <c r="D5" i="28" l="1"/>
  <c r="D19" i="28" s="1"/>
  <c r="D21" i="28" a="1"/>
  <c r="D21" i="28" s="1"/>
  <c r="D20" i="28"/>
  <c r="D22" i="28"/>
  <c r="G7" i="26" s="1"/>
  <c r="N176" i="21"/>
  <c r="D21" i="27" a="1"/>
  <c r="D21" i="27" s="1"/>
  <c r="D5" i="27"/>
  <c r="D19" i="27" s="1"/>
  <c r="D20" i="27"/>
  <c r="E71" i="14"/>
  <c r="F71" i="14"/>
  <c r="E80" i="14"/>
  <c r="F80" i="14"/>
  <c r="F72" i="14"/>
  <c r="E72" i="14"/>
  <c r="E76" i="14"/>
  <c r="F76" i="14"/>
  <c r="F69" i="14"/>
  <c r="E69" i="14"/>
  <c r="H73" i="14"/>
  <c r="G73" i="14"/>
  <c r="F79" i="14"/>
  <c r="E79" i="14"/>
  <c r="W20" i="5" a="1"/>
  <c r="W20" i="5" s="1"/>
  <c r="G77" i="14"/>
  <c r="F77" i="14"/>
  <c r="I75" i="14"/>
  <c r="H75" i="14"/>
  <c r="F68" i="14"/>
  <c r="E68" i="14"/>
  <c r="E70" i="14"/>
  <c r="D70" i="14"/>
  <c r="Q20" i="5"/>
  <c r="N177" i="21"/>
  <c r="N188" i="21"/>
  <c r="Q20" i="21"/>
  <c r="W20" i="21" a="1"/>
  <c r="W2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F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Akhmad Ramadhani - [2014]: Gangguan Pembangkit Unit # 2 PLTU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Akhmad Ramadhani - [2014]: Maintenace Unit Pembangkit # 1 PLTU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C1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Akhmad Ramadhani - [2014]: Maintenace Unit Pembangkit # 1 PLTU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<sst xmlns="http://schemas.openxmlformats.org/spreadsheetml/2006/main" count="2259" uniqueCount="259">
  <si>
    <t>Output</t>
  </si>
  <si>
    <t xml:space="preserve"> Forecast</t>
  </si>
  <si>
    <t>Forecast</t>
  </si>
  <si>
    <t xml:space="preserve">Peramalan </t>
  </si>
  <si>
    <t>Aktual</t>
  </si>
  <si>
    <t>Error</t>
  </si>
  <si>
    <t>(%)</t>
  </si>
  <si>
    <t>Input</t>
  </si>
  <si>
    <t>X</t>
  </si>
  <si>
    <t>Y</t>
  </si>
  <si>
    <t>Z</t>
  </si>
  <si>
    <r>
      <t>VLD</t>
    </r>
    <r>
      <rPr>
        <vertAlign val="subscript"/>
        <sz val="12"/>
        <color theme="1"/>
        <rFont val="Times New Roman"/>
        <family val="1"/>
      </rPr>
      <t>MAX</t>
    </r>
  </si>
  <si>
    <t>NVB</t>
  </si>
  <si>
    <t>NB</t>
  </si>
  <si>
    <t>NM</t>
  </si>
  <si>
    <t>Nilai</t>
  </si>
  <si>
    <t>NS</t>
  </si>
  <si>
    <t>NVS</t>
  </si>
  <si>
    <t>ZE</t>
  </si>
  <si>
    <t>PVS</t>
  </si>
  <si>
    <t>PS</t>
  </si>
  <si>
    <t>PM</t>
  </si>
  <si>
    <t>PB</t>
  </si>
  <si>
    <t>PVB</t>
  </si>
  <si>
    <t>Himpunan</t>
  </si>
  <si>
    <r>
      <t>WD</t>
    </r>
    <r>
      <rPr>
        <i/>
        <sz val="8"/>
        <color theme="1"/>
        <rFont val="Times New Roman"/>
        <family val="1"/>
      </rPr>
      <t>MAX</t>
    </r>
  </si>
  <si>
    <r>
      <t>LD</t>
    </r>
    <r>
      <rPr>
        <i/>
        <sz val="8"/>
        <color theme="1"/>
        <rFont val="Times New Roman"/>
        <family val="1"/>
      </rPr>
      <t>MAX</t>
    </r>
  </si>
  <si>
    <r>
      <t>VLD</t>
    </r>
    <r>
      <rPr>
        <i/>
        <sz val="8"/>
        <color theme="1"/>
        <rFont val="Times New Roman"/>
        <family val="1"/>
      </rPr>
      <t>MAX</t>
    </r>
  </si>
  <si>
    <r>
      <t>TLD</t>
    </r>
    <r>
      <rPr>
        <i/>
        <sz val="8"/>
        <color theme="1"/>
        <rFont val="Times New Roman"/>
        <family val="1"/>
      </rPr>
      <t>MAX</t>
    </r>
  </si>
  <si>
    <t>3.Waisak</t>
  </si>
  <si>
    <t>X/Y</t>
  </si>
  <si>
    <t>No.</t>
  </si>
  <si>
    <t>Aturan</t>
  </si>
  <si>
    <t>Antecendent</t>
  </si>
  <si>
    <t>Consequen</t>
  </si>
  <si>
    <t>MAPE</t>
  </si>
  <si>
    <t>Idul Adha</t>
  </si>
  <si>
    <t>Isra Mi'raj</t>
  </si>
  <si>
    <t>Idul Fitri II</t>
  </si>
  <si>
    <t>Idul Fitri I</t>
  </si>
  <si>
    <t>Waisak</t>
  </si>
  <si>
    <t>Tabel rules base untuk tahun peramalan tahun 2023</t>
  </si>
  <si>
    <t>New Year</t>
  </si>
  <si>
    <t>Independence Day</t>
  </si>
  <si>
    <t>Islamic New Year</t>
  </si>
  <si>
    <t xml:space="preserve">Maulid </t>
  </si>
  <si>
    <t>Good Friday</t>
  </si>
  <si>
    <t>Ascention</t>
  </si>
  <si>
    <t>Crismas</t>
  </si>
  <si>
    <t>Silent Day</t>
  </si>
  <si>
    <t xml:space="preserve">Imlek </t>
  </si>
  <si>
    <r>
      <t>P'</t>
    </r>
    <r>
      <rPr>
        <i/>
        <sz val="8"/>
        <color theme="1"/>
        <rFont val="Times New Roman"/>
        <family val="1"/>
      </rPr>
      <t>MAX</t>
    </r>
    <r>
      <rPr>
        <i/>
        <sz val="12"/>
        <color theme="1"/>
        <rFont val="Times New Roman"/>
        <family val="1"/>
      </rPr>
      <t>(Watthours)</t>
    </r>
  </si>
  <si>
    <t>(Watthours)</t>
  </si>
  <si>
    <t>IT2FIS-FA</t>
  </si>
  <si>
    <t>Fuzzy Type -1</t>
  </si>
  <si>
    <t xml:space="preserve">      </t>
  </si>
  <si>
    <t>Tabel rules base untuk tahun peramalan tahun 2024</t>
  </si>
  <si>
    <t>IT2FIS-OOA</t>
  </si>
  <si>
    <t>RMSE</t>
  </si>
  <si>
    <t>R2</t>
  </si>
  <si>
    <t>MAE</t>
  </si>
  <si>
    <t xml:space="preserve">    </t>
  </si>
  <si>
    <t xml:space="preserve"> </t>
  </si>
  <si>
    <t>No</t>
  </si>
  <si>
    <t>IT2FIS-CSA</t>
  </si>
  <si>
    <t>1.05E-05</t>
  </si>
  <si>
    <t>3.09E-03</t>
  </si>
  <si>
    <t>4.63E-10</t>
  </si>
  <si>
    <t>1.24E-44</t>
  </si>
  <si>
    <t>2.64E-01</t>
  </si>
  <si>
    <t>1.60E+03</t>
  </si>
  <si>
    <t>8.05E-03</t>
  </si>
  <si>
    <t>7.02E+03</t>
  </si>
  <si>
    <t>3.87E+01</t>
  </si>
  <si>
    <t>4.39E+01</t>
  </si>
  <si>
    <t>3.86E-10</t>
  </si>
  <si>
    <t>3.50E-29</t>
  </si>
  <si>
    <t>2.79E-04</t>
  </si>
  <si>
    <t>9.49E+03</t>
  </si>
  <si>
    <t>9.61E-03</t>
  </si>
  <si>
    <t>1.74E+04</t>
  </si>
  <si>
    <t>-5.50E+03</t>
  </si>
  <si>
    <t>-8.44E+03</t>
  </si>
  <si>
    <t>-5.96E+03</t>
  </si>
  <si>
    <t>-4.22E+03</t>
  </si>
  <si>
    <t>3.18E+02</t>
  </si>
  <si>
    <t>3.42E+02</t>
  </si>
  <si>
    <t>7.84E+02</t>
  </si>
  <si>
    <t>6.83E+02</t>
  </si>
  <si>
    <t>3.65E+00</t>
  </si>
  <si>
    <t>3.71E+00</t>
  </si>
  <si>
    <t>3.80E+00</t>
  </si>
  <si>
    <t>2.97E+00</t>
  </si>
  <si>
    <t>1.00E+08</t>
  </si>
  <si>
    <t>3.65E+07</t>
  </si>
  <si>
    <t>1.91E+08</t>
  </si>
  <si>
    <t>2.48E+08</t>
  </si>
  <si>
    <t>3.60E-02</t>
  </si>
  <si>
    <t>5.91E-04</t>
  </si>
  <si>
    <t>7.81E-04</t>
  </si>
  <si>
    <t>4.40E-04</t>
  </si>
  <si>
    <t>2.26E-02</t>
  </si>
  <si>
    <t>1.13E-02</t>
  </si>
  <si>
    <t>3.38E-03</t>
  </si>
  <si>
    <t>1.94E-02</t>
  </si>
  <si>
    <t>-1.02E+00</t>
  </si>
  <si>
    <t>-1.03E+00</t>
  </si>
  <si>
    <t>9.92E-02</t>
  </si>
  <si>
    <t>1.15E-01</t>
  </si>
  <si>
    <t>1.17E-02</t>
  </si>
  <si>
    <t>1.85E-01</t>
  </si>
  <si>
    <t>Actual</t>
  </si>
  <si>
    <t>Type-1</t>
  </si>
  <si>
    <t>IT2-FIS</t>
  </si>
  <si>
    <t>IT2FIS-ZOA</t>
  </si>
  <si>
    <t>Years</t>
  </si>
  <si>
    <t xml:space="preserve"> RMSE (Kwh)</t>
  </si>
  <si>
    <t>Fuzzy Type-1</t>
  </si>
  <si>
    <t>IT2FIS</t>
  </si>
  <si>
    <t>Average</t>
  </si>
  <si>
    <t xml:space="preserve"> MAE (Kwh)</t>
  </si>
  <si>
    <t xml:space="preserve"> MAPE (%)</t>
  </si>
  <si>
    <t>RSUD ULIN Electrical Load Consumption During Special Holidays (Year 2020)</t>
  </si>
  <si>
    <t>Category</t>
  </si>
  <si>
    <t>Special Holiday</t>
  </si>
  <si>
    <t>Day / Date</t>
  </si>
  <si>
    <t>Day</t>
  </si>
  <si>
    <t>H-4 (Wh)</t>
  </si>
  <si>
    <t>H-3 (Wh)</t>
  </si>
  <si>
    <t>H-2 (Wh)</t>
  </si>
  <si>
    <t>H-1 (Wh)</t>
  </si>
  <si>
    <t>H (Wh)</t>
  </si>
  <si>
    <t>General Holidays</t>
  </si>
  <si>
    <t>Islamic Holidays</t>
  </si>
  <si>
    <t>Christian Holidays</t>
  </si>
  <si>
    <t>Hindu, Buddhist,</t>
  </si>
  <si>
    <t xml:space="preserve"> and Chinese Holidays</t>
  </si>
  <si>
    <t>1. New Year</t>
  </si>
  <si>
    <t>2. Independence Day</t>
  </si>
  <si>
    <t>1. Idul Adha</t>
  </si>
  <si>
    <t>2. Islamic New Year</t>
  </si>
  <si>
    <t>3. Maulid</t>
  </si>
  <si>
    <t>4. Isra Mi'raj</t>
  </si>
  <si>
    <t>5. Idul Fitri I</t>
  </si>
  <si>
    <t>6. Idul Fitri II</t>
  </si>
  <si>
    <t>1. Good Friday</t>
  </si>
  <si>
    <t>2. Ascension Day</t>
  </si>
  <si>
    <t>3. Christmas</t>
  </si>
  <si>
    <t>1. Silent Day (Nyepi)</t>
  </si>
  <si>
    <t>2. Chinese New Year (Imlek)</t>
  </si>
  <si>
    <t>3. Waisak</t>
  </si>
  <si>
    <t>Wednesday, Jan 01</t>
  </si>
  <si>
    <t>Monday, Aug 17</t>
  </si>
  <si>
    <t>Friday, Jul 31</t>
  </si>
  <si>
    <t>Thursday, Aug 20</t>
  </si>
  <si>
    <t>Thursday, Oct 29</t>
  </si>
  <si>
    <t>Sunday, Mar 22</t>
  </si>
  <si>
    <t>Sunday, May 24</t>
  </si>
  <si>
    <t>Monday, May 25</t>
  </si>
  <si>
    <t>Friday, Apr 10</t>
  </si>
  <si>
    <t>Thursday, May 21</t>
  </si>
  <si>
    <t>Friday, Dec 25</t>
  </si>
  <si>
    <t>Wednesday, Mar 25</t>
  </si>
  <si>
    <t>Saturday, Jan 25</t>
  </si>
  <si>
    <t>Thursday, May 07</t>
  </si>
  <si>
    <t>RSUD ULIN Electrical Load Consumption During Special Holidays (Year 2021)</t>
  </si>
  <si>
    <t>Friday, Jan 01</t>
  </si>
  <si>
    <t>Tuesday, Aug 17</t>
  </si>
  <si>
    <t>Tuesday, Jul 20</t>
  </si>
  <si>
    <t>Tuesday, Aug 10</t>
  </si>
  <si>
    <t>Tuesday, Oct 19</t>
  </si>
  <si>
    <t>Thursday, Mar 11</t>
  </si>
  <si>
    <t>Thursday, May 13</t>
  </si>
  <si>
    <t>Friday, May 14</t>
  </si>
  <si>
    <t>Friday, Apr 02</t>
  </si>
  <si>
    <t>Monday, Dec 25</t>
  </si>
  <si>
    <t>Sunday, Mar 14</t>
  </si>
  <si>
    <t>Friday, Feb 12</t>
  </si>
  <si>
    <t>Wednesday, May 26</t>
  </si>
  <si>
    <t>RSUD ULIN Electrical Load Consumption During Special Holidays (Year 2022)</t>
  </si>
  <si>
    <t>Saturday, Jan 01</t>
  </si>
  <si>
    <t>Wednesday, Aug 17</t>
  </si>
  <si>
    <t>Friday, Jul 09</t>
  </si>
  <si>
    <t>Saturday, Jul 30</t>
  </si>
  <si>
    <t>Saturday, Oct 08</t>
  </si>
  <si>
    <t>Monday, Feb 28</t>
  </si>
  <si>
    <t>Monday, May 02</t>
  </si>
  <si>
    <t>Tuesday, May 03</t>
  </si>
  <si>
    <t>Friday, Apr 15</t>
  </si>
  <si>
    <t>Thursday, May 26</t>
  </si>
  <si>
    <t>Sunday, Dec 25</t>
  </si>
  <si>
    <t>Thursday, Mar 03</t>
  </si>
  <si>
    <t>Tuesday, Feb 01</t>
  </si>
  <si>
    <t>Monday, May 16</t>
  </si>
  <si>
    <t>RSUD ULIN Electrical Load Consumption During Special Holidays (Year 2023)</t>
  </si>
  <si>
    <t>Forecasting using Fuzzy Type 1 Inference system</t>
  </si>
  <si>
    <t>Sunday, Jan 01</t>
  </si>
  <si>
    <t>Thursday, Aug 17</t>
  </si>
  <si>
    <t>Thursday, Jun 29</t>
  </si>
  <si>
    <t>Wednesday, Jul 19</t>
  </si>
  <si>
    <t>Thursday, Sep 28</t>
  </si>
  <si>
    <t>Saturday, Feb 18</t>
  </si>
  <si>
    <t>Saturday, Apr 22</t>
  </si>
  <si>
    <t>Sunday, Apr 23</t>
  </si>
  <si>
    <t>Friday, Apr 07</t>
  </si>
  <si>
    <t>Thursday, May 18</t>
  </si>
  <si>
    <t>Wednesday, Mar 22</t>
  </si>
  <si>
    <t>Sunday, Jan 22</t>
  </si>
  <si>
    <t>Sunday, Jun 04</t>
  </si>
  <si>
    <t>Forecasting using Interval Type 2 Fuzzy Inference system</t>
  </si>
  <si>
    <t>Forecasting using IT2FIS-CSA</t>
  </si>
  <si>
    <t>Forecasting using IT2FIS-Firefly Algorithm</t>
  </si>
  <si>
    <t>Forecasting using IT2FIS-ZOA</t>
  </si>
  <si>
    <t>RESULT FORCASTING VLD TAHUN 2024</t>
  </si>
  <si>
    <t>RSUD ULIN Electrical Load Consumption During Special Holidays (Year 2024)</t>
  </si>
  <si>
    <t>Monday, Jan 01</t>
  </si>
  <si>
    <t>Saturday, Aug 17</t>
  </si>
  <si>
    <t>Monday, Jun 17</t>
  </si>
  <si>
    <t>Sunday, Jul 07</t>
  </si>
  <si>
    <t>Monday, Sep 16</t>
  </si>
  <si>
    <t>Thursday, Feb 08</t>
  </si>
  <si>
    <t>Saturday, Apr 10</t>
  </si>
  <si>
    <t>Sunday, Apr 11</t>
  </si>
  <si>
    <t>Friday, Mar 29</t>
  </si>
  <si>
    <t>Thursday, May 09</t>
  </si>
  <si>
    <t>Monday, Mar 11</t>
  </si>
  <si>
    <t>Saturday, Feb 10</t>
  </si>
  <si>
    <t>Thursday, May 23</t>
  </si>
  <si>
    <t>Forecasting using IT2FIS-Orangutan Optimization Algorithm (OOA)</t>
  </si>
  <si>
    <r>
      <t xml:space="preserve"> Input (X,Y) dan output (Z) VLD</t>
    </r>
    <r>
      <rPr>
        <b/>
        <sz val="8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year 2023</t>
    </r>
  </si>
  <si>
    <t>Rule Base for Input X year 2023</t>
  </si>
  <si>
    <t>Value</t>
  </si>
  <si>
    <t>Membership Degree (μ)</t>
  </si>
  <si>
    <t>Rule Base for Input Y year 2023</t>
  </si>
  <si>
    <t>Rule</t>
  </si>
  <si>
    <t>Rule Base for Output Z year 2023</t>
  </si>
  <si>
    <t xml:space="preserve"> Input (X,Y) dan output (Z) VLDMAX year 2024</t>
  </si>
  <si>
    <t>Rule Base for Input X year 2024</t>
  </si>
  <si>
    <t>Rule Base for Input Y year 2024</t>
  </si>
  <si>
    <t>Rule Base for Output Z year 2024</t>
  </si>
  <si>
    <t>RESULT FORCASTING PERFORMANCE 2023</t>
  </si>
  <si>
    <t>RESULT FORCASTING PERFORMANCE 2024</t>
  </si>
  <si>
    <r>
      <t xml:space="preserve"> Input (X,Y) dan output (Z) VLD</t>
    </r>
    <r>
      <rPr>
        <b/>
        <sz val="8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year 2022</t>
    </r>
  </si>
  <si>
    <t>Rule Base for Input X year 2022</t>
  </si>
  <si>
    <t>Rule Base for Input Y year 2022</t>
  </si>
  <si>
    <t>Rule Base for Output Z year 2022</t>
  </si>
  <si>
    <t>Forecasting using Support Vector Regression (SVR)</t>
  </si>
  <si>
    <t xml:space="preserve">Forecasting using Random Forest </t>
  </si>
  <si>
    <t>Forecasting using XGBoost</t>
  </si>
  <si>
    <t>RESULT FORCASTING VLD YEAR 2023</t>
  </si>
  <si>
    <t>Support Vector Regression (SVR)</t>
  </si>
  <si>
    <t xml:space="preserve">Random Forest </t>
  </si>
  <si>
    <t>XGBoost</t>
  </si>
  <si>
    <t xml:space="preserve">Forecasting </t>
  </si>
  <si>
    <t>Forecasting</t>
  </si>
  <si>
    <t xml:space="preserve"> (Watthours)</t>
  </si>
  <si>
    <t>SVR</t>
  </si>
  <si>
    <t>Random Forest</t>
  </si>
  <si>
    <r>
      <t xml:space="preserve"> R</t>
    </r>
    <r>
      <rPr>
        <b/>
        <vertAlign val="superscript"/>
        <sz val="9"/>
        <color rgb="FFFF0000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</si>
</sst>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,##0.0000"/>
    <numFmt numFmtId="166" formatCode="0.0000"/>
    <numFmt numFmtId="167" formatCode="0.000"/>
    <numFmt numFmtId="168" formatCode="_-* #,##0_-;\-* #,##0_-;_-* &quot;-&quot;??_-;_-@_-"/>
    <numFmt numFmtId="169" formatCode="0.000000"/>
    <numFmt numFmtId="170" formatCode="_(* #,##0.0000_);_(* \(#,##0.0000\);_(* &quot;-&quot;??_);_(@_)"/>
    <numFmt numFmtId="178" formatCode="#,##0.00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Cambria"/>
      <family val="1"/>
      <scheme val="major"/>
    </font>
    <font>
      <b/>
      <sz val="12"/>
      <color theme="1"/>
      <name val="Times New Roman"/>
      <family val="1"/>
    </font>
    <font>
      <b/>
      <sz val="12"/>
      <color theme="4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name val="Times New Roman"/>
      <family val="1"/>
    </font>
    <font>
      <b/>
      <sz val="9"/>
      <color theme="1"/>
      <name val="Times New Roman"/>
      <family val="1"/>
    </font>
    <font>
      <b/>
      <sz val="9"/>
      <color rgb="FFEE0000"/>
      <name val="Times New Roman"/>
      <family val="1"/>
    </font>
    <font>
      <sz val="9"/>
      <color theme="1"/>
      <name val="Times New Roman"/>
      <family val="1"/>
    </font>
    <font>
      <sz val="9"/>
      <color rgb="FFEE0000"/>
      <name val="Times New Roman"/>
      <family val="1"/>
    </font>
    <font>
      <sz val="7.5"/>
      <color rgb="FFEE0000"/>
      <name val="Times New Roman"/>
      <family val="1"/>
    </font>
    <font>
      <b/>
      <sz val="9"/>
      <color rgb="FFFF0000"/>
      <name val="Times New Roman"/>
      <family val="1"/>
    </font>
    <font>
      <b/>
      <vertAlign val="superscript"/>
      <sz val="9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22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/>
    <xf numFmtId="2" fontId="1" fillId="0" borderId="1" xfId="0" applyNumberFormat="1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165" fontId="1" fillId="0" borderId="1" xfId="0" applyNumberFormat="1" applyFont="1" applyBorder="1"/>
    <xf numFmtId="166" fontId="1" fillId="0" borderId="1" xfId="0" applyNumberFormat="1" applyFont="1" applyBorder="1"/>
    <xf numFmtId="166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/>
    <xf numFmtId="0" fontId="11" fillId="0" borderId="0" xfId="0" applyFont="1"/>
    <xf numFmtId="0" fontId="2" fillId="0" borderId="4" xfId="0" applyFont="1" applyBorder="1" applyAlignment="1">
      <alignment horizontal="center"/>
    </xf>
    <xf numFmtId="0" fontId="13" fillId="0" borderId="0" xfId="0" applyFont="1"/>
    <xf numFmtId="0" fontId="10" fillId="0" borderId="1" xfId="0" applyFont="1" applyBorder="1"/>
    <xf numFmtId="168" fontId="1" fillId="0" borderId="1" xfId="1" applyNumberFormat="1" applyFont="1" applyBorder="1"/>
    <xf numFmtId="0" fontId="0" fillId="0" borderId="1" xfId="0" applyBorder="1" applyAlignment="1">
      <alignment horizontal="center"/>
    </xf>
    <xf numFmtId="0" fontId="14" fillId="0" borderId="0" xfId="0" applyFont="1"/>
    <xf numFmtId="11" fontId="15" fillId="0" borderId="12" xfId="0" applyNumberFormat="1" applyFont="1" applyBorder="1" applyAlignment="1">
      <alignment horizontal="center" vertical="center" wrapText="1"/>
    </xf>
    <xf numFmtId="11" fontId="15" fillId="0" borderId="13" xfId="0" applyNumberFormat="1" applyFont="1" applyBorder="1" applyAlignment="1">
      <alignment horizontal="center" vertical="center" wrapText="1"/>
    </xf>
    <xf numFmtId="11" fontId="16" fillId="0" borderId="13" xfId="0" applyNumberFormat="1" applyFont="1" applyBorder="1" applyAlignment="1">
      <alignment horizontal="center" vertical="center" wrapText="1"/>
    </xf>
    <xf numFmtId="11" fontId="15" fillId="0" borderId="14" xfId="0" applyNumberFormat="1" applyFont="1" applyBorder="1" applyAlignment="1">
      <alignment horizontal="center" vertical="center" wrapText="1"/>
    </xf>
    <xf numFmtId="11" fontId="15" fillId="0" borderId="15" xfId="0" applyNumberFormat="1" applyFont="1" applyBorder="1" applyAlignment="1">
      <alignment horizontal="center" vertical="center" wrapText="1"/>
    </xf>
    <xf numFmtId="11" fontId="16" fillId="0" borderId="15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7" fillId="0" borderId="1" xfId="0" applyNumberFormat="1" applyFont="1" applyBorder="1"/>
    <xf numFmtId="0" fontId="10" fillId="0" borderId="1" xfId="0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" fontId="1" fillId="0" borderId="1" xfId="0" applyNumberFormat="1" applyFont="1" applyBorder="1"/>
    <xf numFmtId="167" fontId="0" fillId="2" borderId="1" xfId="0" applyNumberFormat="1" applyFill="1" applyBorder="1"/>
    <xf numFmtId="167" fontId="0" fillId="4" borderId="1" xfId="0" applyNumberFormat="1" applyFill="1" applyBorder="1"/>
    <xf numFmtId="167" fontId="0" fillId="5" borderId="1" xfId="0" applyNumberFormat="1" applyFill="1" applyBorder="1"/>
    <xf numFmtId="167" fontId="0" fillId="7" borderId="1" xfId="0" applyNumberFormat="1" applyFill="1" applyBorder="1"/>
    <xf numFmtId="167" fontId="0" fillId="8" borderId="1" xfId="0" applyNumberFormat="1" applyFill="1" applyBorder="1" applyAlignment="1">
      <alignment horizontal="center" vertical="center"/>
    </xf>
    <xf numFmtId="167" fontId="0" fillId="8" borderId="1" xfId="0" applyNumberFormat="1" applyFill="1" applyBorder="1"/>
    <xf numFmtId="167" fontId="0" fillId="3" borderId="1" xfId="0" applyNumberFormat="1" applyFill="1" applyBorder="1"/>
    <xf numFmtId="0" fontId="0" fillId="9" borderId="0" xfId="0" applyFill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2" fontId="1" fillId="0" borderId="8" xfId="0" applyNumberFormat="1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9" xfId="0" applyFont="1" applyBorder="1"/>
    <xf numFmtId="0" fontId="0" fillId="12" borderId="1" xfId="0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/>
    <xf numFmtId="0" fontId="0" fillId="13" borderId="1" xfId="0" applyFill="1" applyBorder="1" applyAlignment="1">
      <alignment horizontal="center" vertical="center"/>
    </xf>
    <xf numFmtId="167" fontId="0" fillId="13" borderId="1" xfId="0" applyNumberFormat="1" applyFill="1" applyBorder="1" applyAlignment="1">
      <alignment horizontal="center" vertical="center"/>
    </xf>
    <xf numFmtId="167" fontId="0" fillId="13" borderId="1" xfId="0" applyNumberFormat="1" applyFill="1" applyBorder="1"/>
    <xf numFmtId="0" fontId="0" fillId="14" borderId="1" xfId="0" applyFill="1" applyBorder="1" applyAlignment="1">
      <alignment horizontal="center" vertical="center"/>
    </xf>
    <xf numFmtId="167" fontId="0" fillId="14" borderId="1" xfId="0" applyNumberFormat="1" applyFill="1" applyBorder="1" applyAlignment="1">
      <alignment horizontal="center" vertical="center"/>
    </xf>
    <xf numFmtId="167" fontId="0" fillId="14" borderId="1" xfId="0" applyNumberFormat="1" applyFill="1" applyBorder="1"/>
    <xf numFmtId="169" fontId="1" fillId="0" borderId="1" xfId="0" applyNumberFormat="1" applyFont="1" applyBorder="1"/>
    <xf numFmtId="2" fontId="1" fillId="0" borderId="3" xfId="0" applyNumberFormat="1" applyFont="1" applyBorder="1"/>
    <xf numFmtId="169" fontId="1" fillId="0" borderId="3" xfId="0" applyNumberFormat="1" applyFont="1" applyBorder="1"/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17" fillId="0" borderId="0" xfId="0" applyFont="1"/>
    <xf numFmtId="170" fontId="1" fillId="0" borderId="1" xfId="0" applyNumberFormat="1" applyFont="1" applyBorder="1"/>
    <xf numFmtId="167" fontId="17" fillId="0" borderId="0" xfId="0" applyNumberFormat="1" applyFont="1" applyAlignment="1">
      <alignment horizontal="center" vertical="center"/>
    </xf>
    <xf numFmtId="168" fontId="1" fillId="0" borderId="0" xfId="1" applyNumberFormat="1" applyFont="1" applyBorder="1"/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8" fontId="0" fillId="14" borderId="1" xfId="1" applyNumberFormat="1" applyFont="1" applyFill="1" applyBorder="1" applyAlignment="1">
      <alignment horizontal="center" vertical="center"/>
    </xf>
    <xf numFmtId="168" fontId="0" fillId="12" borderId="1" xfId="1" applyNumberFormat="1" applyFont="1" applyFill="1" applyBorder="1" applyAlignment="1">
      <alignment horizontal="center" vertical="center"/>
    </xf>
    <xf numFmtId="168" fontId="0" fillId="13" borderId="1" xfId="1" applyNumberFormat="1" applyFont="1" applyFill="1" applyBorder="1" applyAlignment="1">
      <alignment horizontal="center" vertical="center"/>
    </xf>
    <xf numFmtId="168" fontId="0" fillId="2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0" fillId="5" borderId="1" xfId="1" applyNumberFormat="1" applyFont="1" applyFill="1" applyBorder="1" applyAlignment="1">
      <alignment horizontal="center" vertical="center"/>
    </xf>
    <xf numFmtId="168" fontId="0" fillId="7" borderId="1" xfId="1" applyNumberFormat="1" applyFont="1" applyFill="1" applyBorder="1" applyAlignment="1">
      <alignment horizontal="center" vertical="center"/>
    </xf>
    <xf numFmtId="168" fontId="0" fillId="6" borderId="1" xfId="1" applyNumberFormat="1" applyFont="1" applyFill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6" fontId="22" fillId="2" borderId="1" xfId="0" applyNumberFormat="1" applyFont="1" applyFill="1" applyBorder="1" applyAlignment="1">
      <alignment horizontal="center" vertical="center" wrapText="1"/>
    </xf>
    <xf numFmtId="166" fontId="22" fillId="2" borderId="8" xfId="0" applyNumberFormat="1" applyFont="1" applyFill="1" applyBorder="1" applyAlignment="1">
      <alignment horizontal="center" vertical="center" wrapText="1"/>
    </xf>
    <xf numFmtId="166" fontId="19" fillId="2" borderId="27" xfId="0" applyNumberFormat="1" applyFont="1" applyFill="1" applyBorder="1" applyAlignment="1">
      <alignment horizontal="center" vertical="center" wrapText="1"/>
    </xf>
    <xf numFmtId="166" fontId="19" fillId="2" borderId="29" xfId="0" applyNumberFormat="1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3" fontId="21" fillId="3" borderId="24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3" fontId="21" fillId="3" borderId="25" xfId="0" applyNumberFormat="1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3" fontId="21" fillId="4" borderId="1" xfId="0" applyNumberFormat="1" applyFont="1" applyFill="1" applyBorder="1" applyAlignment="1">
      <alignment horizontal="center" vertical="center" wrapText="1"/>
    </xf>
    <xf numFmtId="3" fontId="21" fillId="4" borderId="8" xfId="0" applyNumberFormat="1" applyFont="1" applyFill="1" applyBorder="1" applyAlignment="1">
      <alignment horizontal="center" vertical="center" wrapText="1"/>
    </xf>
    <xf numFmtId="0" fontId="23" fillId="15" borderId="30" xfId="0" applyFont="1" applyFill="1" applyBorder="1" applyAlignment="1">
      <alignment horizontal="center" vertical="center" wrapText="1"/>
    </xf>
    <xf numFmtId="0" fontId="23" fillId="15" borderId="22" xfId="0" applyFont="1" applyFill="1" applyBorder="1" applyAlignment="1">
      <alignment horizontal="center" vertical="center" wrapText="1"/>
    </xf>
    <xf numFmtId="0" fontId="23" fillId="15" borderId="23" xfId="0" applyFont="1" applyFill="1" applyBorder="1" applyAlignment="1">
      <alignment horizontal="center" vertical="center" wrapText="1"/>
    </xf>
    <xf numFmtId="0" fontId="18" fillId="15" borderId="24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15" borderId="25" xfId="0" applyFont="1" applyFill="1" applyBorder="1" applyAlignment="1">
      <alignment horizontal="center" vertical="center" wrapText="1"/>
    </xf>
    <xf numFmtId="168" fontId="19" fillId="3" borderId="26" xfId="1" applyNumberFormat="1" applyFont="1" applyFill="1" applyBorder="1" applyAlignment="1">
      <alignment horizontal="center" vertical="center" wrapText="1"/>
    </xf>
    <xf numFmtId="168" fontId="19" fillId="4" borderId="27" xfId="1" applyNumberFormat="1" applyFont="1" applyFill="1" applyBorder="1" applyAlignment="1">
      <alignment horizontal="center" vertical="center" wrapText="1"/>
    </xf>
    <xf numFmtId="168" fontId="19" fillId="4" borderId="29" xfId="1" applyNumberFormat="1" applyFont="1" applyFill="1" applyBorder="1" applyAlignment="1">
      <alignment horizontal="center" vertical="center" wrapText="1"/>
    </xf>
    <xf numFmtId="178" fontId="21" fillId="15" borderId="24" xfId="0" applyNumberFormat="1" applyFont="1" applyFill="1" applyBorder="1" applyAlignment="1">
      <alignment horizontal="center" vertical="center" wrapText="1"/>
    </xf>
    <xf numFmtId="178" fontId="21" fillId="15" borderId="1" xfId="0" applyNumberFormat="1" applyFont="1" applyFill="1" applyBorder="1" applyAlignment="1">
      <alignment horizontal="center" vertical="center" wrapText="1"/>
    </xf>
    <xf numFmtId="178" fontId="21" fillId="15" borderId="25" xfId="0" applyNumberFormat="1" applyFont="1" applyFill="1" applyBorder="1" applyAlignment="1">
      <alignment horizontal="center" vertical="center" wrapText="1"/>
    </xf>
    <xf numFmtId="178" fontId="19" fillId="15" borderId="26" xfId="0" applyNumberFormat="1" applyFont="1" applyFill="1" applyBorder="1" applyAlignment="1">
      <alignment horizontal="center" vertical="center" wrapText="1"/>
    </xf>
    <xf numFmtId="178" fontId="19" fillId="15" borderId="27" xfId="0" applyNumberFormat="1" applyFont="1" applyFill="1" applyBorder="1" applyAlignment="1">
      <alignment horizontal="center" vertical="center" wrapText="1"/>
    </xf>
    <xf numFmtId="178" fontId="19" fillId="15" borderId="28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63002912307195"/>
          <c:y val="0.2477966724747642"/>
          <c:w val="0.83789914388555309"/>
          <c:h val="0.47810994213958552"/>
        </c:manualLayout>
      </c:layout>
      <c:lineChart>
        <c:grouping val="standard"/>
        <c:varyColors val="0"/>
        <c:ser>
          <c:idx val="0"/>
          <c:order val="0"/>
          <c:tx>
            <c:strRef>
              <c:f>'2024a'!$N$175</c:f>
              <c:strCache>
                <c:ptCount val="1"/>
                <c:pt idx="0">
                  <c:v>SVR</c:v>
                </c:pt>
              </c:strCache>
            </c:strRef>
          </c:tx>
          <c:val>
            <c:numRef>
              <c:f>'2024a'!$N$176:$N$189</c:f>
              <c:numCache>
                <c:formatCode>0.00</c:formatCode>
                <c:ptCount val="14"/>
                <c:pt idx="0">
                  <c:v>13.193460457067784</c:v>
                </c:pt>
                <c:pt idx="1">
                  <c:v>5.2405910014062904</c:v>
                </c:pt>
                <c:pt idx="2">
                  <c:v>10.58050484101423</c:v>
                </c:pt>
                <c:pt idx="3">
                  <c:v>7.0837007382190116</c:v>
                </c:pt>
                <c:pt idx="4">
                  <c:v>5.2832158153099513</c:v>
                </c:pt>
                <c:pt idx="5">
                  <c:v>3.3770130524485071</c:v>
                </c:pt>
                <c:pt idx="6">
                  <c:v>17.452798122614922</c:v>
                </c:pt>
                <c:pt idx="7">
                  <c:v>11.289365312627439</c:v>
                </c:pt>
                <c:pt idx="8">
                  <c:v>10.852436149733279</c:v>
                </c:pt>
                <c:pt idx="9">
                  <c:v>9.2170807545391984</c:v>
                </c:pt>
                <c:pt idx="10">
                  <c:v>4.2260420972636208</c:v>
                </c:pt>
                <c:pt idx="11">
                  <c:v>2.8506028910196037</c:v>
                </c:pt>
                <c:pt idx="12">
                  <c:v>9.7709383722012912</c:v>
                </c:pt>
                <c:pt idx="13">
                  <c:v>3.635124816433235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B-49F8-A88A-3A49159682D3}"/>
            </c:ext>
          </c:extLst>
        </c:ser>
        <c:ser>
          <c:idx val="1"/>
          <c:order val="1"/>
          <c:tx>
            <c:strRef>
              <c:f>'2024a'!$O$175</c:f>
              <c:strCache>
                <c:ptCount val="1"/>
                <c:pt idx="0">
                  <c:v>Random Forest</c:v>
                </c:pt>
              </c:strCache>
            </c:strRef>
          </c:tx>
          <c:val>
            <c:numRef>
              <c:f>'2024a'!$O$176:$O$189</c:f>
              <c:numCache>
                <c:formatCode>0.00</c:formatCode>
                <c:ptCount val="14"/>
                <c:pt idx="0">
                  <c:v>9.8635194085776128</c:v>
                </c:pt>
                <c:pt idx="1">
                  <c:v>7.5668188758548123</c:v>
                </c:pt>
                <c:pt idx="2">
                  <c:v>11.615926744826391</c:v>
                </c:pt>
                <c:pt idx="3">
                  <c:v>7.9077005832747549</c:v>
                </c:pt>
                <c:pt idx="4">
                  <c:v>6.7619963458157413</c:v>
                </c:pt>
                <c:pt idx="5">
                  <c:v>2.7665806675603211</c:v>
                </c:pt>
                <c:pt idx="6">
                  <c:v>16.006880842284716</c:v>
                </c:pt>
                <c:pt idx="7">
                  <c:v>7.6237258242551578</c:v>
                </c:pt>
                <c:pt idx="8">
                  <c:v>10.131131394180969</c:v>
                </c:pt>
                <c:pt idx="9">
                  <c:v>5.1826427565490709</c:v>
                </c:pt>
                <c:pt idx="10">
                  <c:v>6.804986006481518</c:v>
                </c:pt>
                <c:pt idx="11">
                  <c:v>5.1059712563272308</c:v>
                </c:pt>
                <c:pt idx="12">
                  <c:v>12.048558985431374</c:v>
                </c:pt>
                <c:pt idx="13">
                  <c:v>7.0042807942819643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B-49F8-A88A-3A49159682D3}"/>
            </c:ext>
          </c:extLst>
        </c:ser>
        <c:ser>
          <c:idx val="2"/>
          <c:order val="2"/>
          <c:tx>
            <c:strRef>
              <c:f>'2024a'!$P$175</c:f>
              <c:strCache>
                <c:ptCount val="1"/>
                <c:pt idx="0">
                  <c:v>XGBoost</c:v>
                </c:pt>
              </c:strCache>
            </c:strRef>
          </c:tx>
          <c:val>
            <c:numRef>
              <c:f>'2024a'!$P$176:$P$189</c:f>
              <c:numCache>
                <c:formatCode>0.00</c:formatCode>
                <c:ptCount val="14"/>
                <c:pt idx="0">
                  <c:v>6.4661499899744799</c:v>
                </c:pt>
                <c:pt idx="1">
                  <c:v>6.1572221634868018</c:v>
                </c:pt>
                <c:pt idx="2">
                  <c:v>10.883615445091069</c:v>
                </c:pt>
                <c:pt idx="3">
                  <c:v>10.430341952717253</c:v>
                </c:pt>
                <c:pt idx="4">
                  <c:v>6.37473972493469</c:v>
                </c:pt>
                <c:pt idx="5">
                  <c:v>4.2697704923964501</c:v>
                </c:pt>
                <c:pt idx="6">
                  <c:v>13.672412783089895</c:v>
                </c:pt>
                <c:pt idx="7">
                  <c:v>7.424979133898538</c:v>
                </c:pt>
                <c:pt idx="8">
                  <c:v>7.5998991884145877</c:v>
                </c:pt>
                <c:pt idx="9">
                  <c:v>6.5567294104655112</c:v>
                </c:pt>
                <c:pt idx="10">
                  <c:v>10.311485092377328</c:v>
                </c:pt>
                <c:pt idx="11">
                  <c:v>10.746737897060052</c:v>
                </c:pt>
                <c:pt idx="12">
                  <c:v>15.652299839560756</c:v>
                </c:pt>
                <c:pt idx="13">
                  <c:v>9.2710803571276479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B-49F8-A88A-3A49159682D3}"/>
            </c:ext>
          </c:extLst>
        </c:ser>
        <c:ser>
          <c:idx val="3"/>
          <c:order val="3"/>
          <c:tx>
            <c:strRef>
              <c:f>'2024a'!$Q$175</c:f>
              <c:strCache>
                <c:ptCount val="1"/>
                <c:pt idx="0">
                  <c:v>Fuzzy Type -1</c:v>
                </c:pt>
              </c:strCache>
            </c:strRef>
          </c:tx>
          <c:val>
            <c:numRef>
              <c:f>'2024a'!$Q$176:$Q$189</c:f>
              <c:numCache>
                <c:formatCode>0.00</c:formatCode>
                <c:ptCount val="14"/>
                <c:pt idx="0">
                  <c:v>2.7382839142227282</c:v>
                </c:pt>
                <c:pt idx="1">
                  <c:v>5.4122949596579115</c:v>
                </c:pt>
                <c:pt idx="2">
                  <c:v>13.801059658977026</c:v>
                </c:pt>
                <c:pt idx="3">
                  <c:v>5.0800249234081907</c:v>
                </c:pt>
                <c:pt idx="4">
                  <c:v>6.8339426791132176</c:v>
                </c:pt>
                <c:pt idx="5">
                  <c:v>1.0209236977764955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6.220262582210812</c:v>
                </c:pt>
                <c:pt idx="9">
                  <c:v>3.5345402606851057</c:v>
                </c:pt>
                <c:pt idx="10">
                  <c:v>8.226330724462418</c:v>
                </c:pt>
                <c:pt idx="11">
                  <c:v>5.8269080848370658</c:v>
                </c:pt>
                <c:pt idx="12">
                  <c:v>10.176423015285831</c:v>
                </c:pt>
                <c:pt idx="13">
                  <c:v>8.107924191495643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6B-49F8-A88A-3A49159682D3}"/>
            </c:ext>
          </c:extLst>
        </c:ser>
        <c:ser>
          <c:idx val="4"/>
          <c:order val="4"/>
          <c:tx>
            <c:strRef>
              <c:f>'2024a'!$R$175</c:f>
              <c:strCache>
                <c:ptCount val="1"/>
                <c:pt idx="0">
                  <c:v>IT2FIS</c:v>
                </c:pt>
              </c:strCache>
            </c:strRef>
          </c:tx>
          <c:val>
            <c:numRef>
              <c:f>'2024a'!$R$176:$R$189</c:f>
              <c:numCache>
                <c:formatCode>0.00</c:formatCode>
                <c:ptCount val="14"/>
                <c:pt idx="0">
                  <c:v>2.6756841585503714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5.0800249234081907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6.3546139748750337</c:v>
                </c:pt>
                <c:pt idx="9">
                  <c:v>3.2951107535547637</c:v>
                </c:pt>
                <c:pt idx="10">
                  <c:v>8.226330724462418</c:v>
                </c:pt>
                <c:pt idx="11">
                  <c:v>5.9424143736722979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6B-49F8-A88A-3A49159682D3}"/>
            </c:ext>
          </c:extLst>
        </c:ser>
        <c:ser>
          <c:idx val="5"/>
          <c:order val="5"/>
          <c:tx>
            <c:strRef>
              <c:f>'2024a'!$S$175</c:f>
              <c:strCache>
                <c:ptCount val="1"/>
                <c:pt idx="0">
                  <c:v>IT2FIS-CSA</c:v>
                </c:pt>
              </c:strCache>
            </c:strRef>
          </c:tx>
          <c:val>
            <c:numRef>
              <c:f>'2024a'!$S$176:$S$189</c:f>
              <c:numCache>
                <c:formatCode>0.00</c:formatCode>
                <c:ptCount val="14"/>
                <c:pt idx="0">
                  <c:v>2.6358167129632584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5.0747020254406561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6.3752595742092213</c:v>
                </c:pt>
                <c:pt idx="9">
                  <c:v>3.3220310795944039</c:v>
                </c:pt>
                <c:pt idx="10">
                  <c:v>8.226330724462418</c:v>
                </c:pt>
                <c:pt idx="11">
                  <c:v>5.9510242912652611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7-4454-8B61-E47D7D100930}"/>
            </c:ext>
          </c:extLst>
        </c:ser>
        <c:ser>
          <c:idx val="6"/>
          <c:order val="6"/>
          <c:tx>
            <c:strRef>
              <c:f>'2024a'!$T$175</c:f>
              <c:strCache>
                <c:ptCount val="1"/>
                <c:pt idx="0">
                  <c:v>IT2FIS-FA</c:v>
                </c:pt>
              </c:strCache>
            </c:strRef>
          </c:tx>
          <c:val>
            <c:numRef>
              <c:f>'2024a'!$T$176:$T$189</c:f>
              <c:numCache>
                <c:formatCode>0.00</c:formatCode>
                <c:ptCount val="14"/>
                <c:pt idx="0">
                  <c:v>2.6818498445796171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5.0514550832966982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6.354303980891034</c:v>
                </c:pt>
                <c:pt idx="9">
                  <c:v>3.2906347089376164</c:v>
                </c:pt>
                <c:pt idx="10">
                  <c:v>8.226330724462418</c:v>
                </c:pt>
                <c:pt idx="11">
                  <c:v>5.8786282236173522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E-4702-8ABE-86F086F8D020}"/>
            </c:ext>
          </c:extLst>
        </c:ser>
        <c:ser>
          <c:idx val="7"/>
          <c:order val="7"/>
          <c:tx>
            <c:strRef>
              <c:f>'2024a'!$U$175</c:f>
              <c:strCache>
                <c:ptCount val="1"/>
                <c:pt idx="0">
                  <c:v>IT2FIS-ZOA</c:v>
                </c:pt>
              </c:strCache>
            </c:strRef>
          </c:tx>
          <c:val>
            <c:numRef>
              <c:f>'2024a'!$U$176:$U$189</c:f>
              <c:numCache>
                <c:formatCode>0.00</c:formatCode>
                <c:ptCount val="14"/>
                <c:pt idx="0">
                  <c:v>2.6163618784049807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5.0723121528837947</c:v>
                </c:pt>
                <c:pt idx="4">
                  <c:v>6.8263414493074297</c:v>
                </c:pt>
                <c:pt idx="5">
                  <c:v>1.2765602771399589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6.358333902682995</c:v>
                </c:pt>
                <c:pt idx="9">
                  <c:v>3.2478176679173658</c:v>
                </c:pt>
                <c:pt idx="10">
                  <c:v>8.226330724462418</c:v>
                </c:pt>
                <c:pt idx="11">
                  <c:v>5.9449003357942063</c:v>
                </c:pt>
                <c:pt idx="12">
                  <c:v>9.6890496030850262</c:v>
                </c:pt>
                <c:pt idx="13">
                  <c:v>8.360029083299473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E-4702-8ABE-86F086F8D020}"/>
            </c:ext>
          </c:extLst>
        </c:ser>
        <c:ser>
          <c:idx val="8"/>
          <c:order val="8"/>
          <c:tx>
            <c:strRef>
              <c:f>'2024a'!$V$175</c:f>
              <c:strCache>
                <c:ptCount val="1"/>
                <c:pt idx="0">
                  <c:v>IT2FIS-OOA</c:v>
                </c:pt>
              </c:strCache>
            </c:strRef>
          </c:tx>
          <c:val>
            <c:numRef>
              <c:f>'2024a'!$V$176:$V$189</c:f>
              <c:numCache>
                <c:formatCode>0.00</c:formatCode>
                <c:ptCount val="14"/>
                <c:pt idx="0">
                  <c:v>2.6125906335521485</c:v>
                </c:pt>
                <c:pt idx="1">
                  <c:v>4.6943740150454971</c:v>
                </c:pt>
                <c:pt idx="2">
                  <c:v>13.801059658977026</c:v>
                </c:pt>
                <c:pt idx="3">
                  <c:v>5.07290962102301</c:v>
                </c:pt>
                <c:pt idx="4">
                  <c:v>6.8263414493074297</c:v>
                </c:pt>
                <c:pt idx="5">
                  <c:v>1.1011118647716693</c:v>
                </c:pt>
                <c:pt idx="6">
                  <c:v>12.499825216557463</c:v>
                </c:pt>
                <c:pt idx="7">
                  <c:v>3.8499419209159527</c:v>
                </c:pt>
                <c:pt idx="8">
                  <c:v>6.3488480867726915</c:v>
                </c:pt>
                <c:pt idx="9">
                  <c:v>3.2231707567897834</c:v>
                </c:pt>
                <c:pt idx="10">
                  <c:v>8.226330724462418</c:v>
                </c:pt>
                <c:pt idx="11">
                  <c:v>5.9244063065940491</c:v>
                </c:pt>
                <c:pt idx="12">
                  <c:v>9.6890496030850262</c:v>
                </c:pt>
                <c:pt idx="13">
                  <c:v>8.2862422856983571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E-4702-8ABE-86F086F8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49440"/>
        <c:axId val="115155328"/>
      </c:lineChart>
      <c:catAx>
        <c:axId val="1151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5155328"/>
        <c:crosses val="autoZero"/>
        <c:auto val="1"/>
        <c:lblAlgn val="ctr"/>
        <c:lblOffset val="100"/>
        <c:noMultiLvlLbl val="0"/>
      </c:catAx>
      <c:valAx>
        <c:axId val="11515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  <a:r>
                  <a:rPr lang="en-US" baseline="0"/>
                  <a:t> </a:t>
                </a:r>
                <a:r>
                  <a:rPr lang="en-US"/>
                  <a:t>Error  (%)</a:t>
                </a:r>
              </a:p>
            </c:rich>
          </c:tx>
          <c:layout>
            <c:manualLayout>
              <c:xMode val="edge"/>
              <c:yMode val="edge"/>
              <c:x val="6.2061282650382153E-2"/>
              <c:y val="0.34327626477882928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11514944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7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'Load consumption'!$B$2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'Load consumption'!$A$3:$A$16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'Load consumption'!$B$3:$B$16</c:f>
              <c:numCache>
                <c:formatCode>0.00</c:formatCode>
                <c:ptCount val="14"/>
                <c:pt idx="0">
                  <c:v>22567256.215999998</c:v>
                </c:pt>
                <c:pt idx="1">
                  <c:v>23420438.151999995</c:v>
                </c:pt>
                <c:pt idx="2">
                  <c:v>21625341.699999999</c:v>
                </c:pt>
                <c:pt idx="3">
                  <c:v>23812488.471999999</c:v>
                </c:pt>
                <c:pt idx="4">
                  <c:v>26978630.167999983</c:v>
                </c:pt>
                <c:pt idx="5">
                  <c:v>25901645.223999999</c:v>
                </c:pt>
                <c:pt idx="6">
                  <c:v>22949801.759999998</c:v>
                </c:pt>
                <c:pt idx="7">
                  <c:v>23457312.649999999</c:v>
                </c:pt>
                <c:pt idx="8">
                  <c:v>23007013.184</c:v>
                </c:pt>
                <c:pt idx="9">
                  <c:v>22742761.087999996</c:v>
                </c:pt>
                <c:pt idx="10">
                  <c:v>25456619.983999997</c:v>
                </c:pt>
                <c:pt idx="11">
                  <c:v>24601645.223999999</c:v>
                </c:pt>
                <c:pt idx="12">
                  <c:v>23110877.312000003</c:v>
                </c:pt>
                <c:pt idx="13">
                  <c:v>22035483.85600001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8-49C7-AE38-9AC8E657BB8E}"/>
            </c:ext>
          </c:extLst>
        </c:ser>
        <c:ser>
          <c:idx val="1"/>
          <c:order val="1"/>
          <c:tx>
            <c:strRef>
              <c:f>'Load consumption'!$C$2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'Load consumption'!$A$3:$A$16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'Load consumption'!$C$3:$C$16</c:f>
              <c:numCache>
                <c:formatCode>0.00</c:formatCode>
                <c:ptCount val="14"/>
                <c:pt idx="0">
                  <c:v>23718257.920000002</c:v>
                </c:pt>
                <c:pt idx="1">
                  <c:v>23452361.048</c:v>
                </c:pt>
                <c:pt idx="2">
                  <c:v>22686861.579199996</c:v>
                </c:pt>
                <c:pt idx="3">
                  <c:v>24934535.199999996</c:v>
                </c:pt>
                <c:pt idx="4">
                  <c:v>27274019.976000007</c:v>
                </c:pt>
                <c:pt idx="5">
                  <c:v>24409353.584000006</c:v>
                </c:pt>
                <c:pt idx="6">
                  <c:v>23852582.799999997</c:v>
                </c:pt>
                <c:pt idx="7">
                  <c:v>23441135.967999995</c:v>
                </c:pt>
                <c:pt idx="8">
                  <c:v>22751771.327999998</c:v>
                </c:pt>
                <c:pt idx="9">
                  <c:v>23852582.799999997</c:v>
                </c:pt>
                <c:pt idx="10">
                  <c:v>22815692.079999991</c:v>
                </c:pt>
                <c:pt idx="11">
                  <c:v>23287769.416000001</c:v>
                </c:pt>
                <c:pt idx="12">
                  <c:v>22254695.648000006</c:v>
                </c:pt>
                <c:pt idx="13">
                  <c:v>23862345.607999995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8-49C7-AE38-9AC8E657BB8E}"/>
            </c:ext>
          </c:extLst>
        </c:ser>
        <c:ser>
          <c:idx val="2"/>
          <c:order val="2"/>
          <c:tx>
            <c:strRef>
              <c:f>'Load consumption'!$D$2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'Load consumption'!$A$3:$A$16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'Load consumption'!$D$3:$D$16</c:f>
              <c:numCache>
                <c:formatCode>0.00</c:formatCode>
                <c:ptCount val="14"/>
                <c:pt idx="0">
                  <c:v>25726988.52</c:v>
                </c:pt>
                <c:pt idx="1">
                  <c:v>23595416.392000005</c:v>
                </c:pt>
                <c:pt idx="2">
                  <c:v>23221913.432000011</c:v>
                </c:pt>
                <c:pt idx="3">
                  <c:v>23994465.52</c:v>
                </c:pt>
                <c:pt idx="4">
                  <c:v>24348237.368000001</c:v>
                </c:pt>
                <c:pt idx="5">
                  <c:v>23370764.111999996</c:v>
                </c:pt>
                <c:pt idx="6">
                  <c:v>21973444.831999995</c:v>
                </c:pt>
                <c:pt idx="7">
                  <c:v>22778253.584000006</c:v>
                </c:pt>
                <c:pt idx="8">
                  <c:v>24624619.496000011</c:v>
                </c:pt>
                <c:pt idx="9">
                  <c:v>24654370.176000006</c:v>
                </c:pt>
                <c:pt idx="10">
                  <c:v>25043529.879999999</c:v>
                </c:pt>
                <c:pt idx="11">
                  <c:v>27298992.328000002</c:v>
                </c:pt>
                <c:pt idx="12">
                  <c:v>25825940.600000001</c:v>
                </c:pt>
                <c:pt idx="13">
                  <c:v>23610307.936000004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38-49C7-AE38-9AC8E657BB8E}"/>
            </c:ext>
          </c:extLst>
        </c:ser>
        <c:ser>
          <c:idx val="3"/>
          <c:order val="3"/>
          <c:tx>
            <c:strRef>
              <c:f>'Load consumption'!$E$2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'Load consumption'!$A$3:$A$16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'Load consumption'!$E$3:$E$16</c:f>
              <c:numCache>
                <c:formatCode>0.00</c:formatCode>
                <c:ptCount val="14"/>
                <c:pt idx="0">
                  <c:v>21383235.272000007</c:v>
                </c:pt>
                <c:pt idx="1">
                  <c:v>23369011.471999992</c:v>
                </c:pt>
                <c:pt idx="2">
                  <c:v>20658324.559999991</c:v>
                </c:pt>
                <c:pt idx="3">
                  <c:v>23414288.264000002</c:v>
                </c:pt>
                <c:pt idx="4">
                  <c:v>23798220.599999998</c:v>
                </c:pt>
                <c:pt idx="5">
                  <c:v>25703679.503999997</c:v>
                </c:pt>
                <c:pt idx="6">
                  <c:v>18556039.552000005</c:v>
                </c:pt>
                <c:pt idx="7">
                  <c:v>20061147.615999997</c:v>
                </c:pt>
                <c:pt idx="8">
                  <c:v>22518592.687999986</c:v>
                </c:pt>
                <c:pt idx="9">
                  <c:v>25094944.103999987</c:v>
                </c:pt>
                <c:pt idx="10">
                  <c:v>23465166.680000011</c:v>
                </c:pt>
                <c:pt idx="11">
                  <c:v>23458005.864</c:v>
                </c:pt>
                <c:pt idx="12">
                  <c:v>20598511.239999998</c:v>
                </c:pt>
                <c:pt idx="13">
                  <c:v>23319885.640000015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38-49C7-AE38-9AC8E657BB8E}"/>
            </c:ext>
          </c:extLst>
        </c:ser>
        <c:ser>
          <c:idx val="4"/>
          <c:order val="4"/>
          <c:tx>
            <c:strRef>
              <c:f>'Load consumption'!$F$2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'Load consumption'!$A$3:$A$16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'Load consumption'!$F$3:$F$16</c:f>
              <c:numCache>
                <c:formatCode>0.00</c:formatCode>
                <c:ptCount val="14"/>
                <c:pt idx="0">
                  <c:v>21383235.272000007</c:v>
                </c:pt>
                <c:pt idx="1">
                  <c:v>23369011.471999992</c:v>
                </c:pt>
                <c:pt idx="2">
                  <c:v>20658324.559999991</c:v>
                </c:pt>
                <c:pt idx="3">
                  <c:v>23414288.264000002</c:v>
                </c:pt>
                <c:pt idx="4">
                  <c:v>23798220.599999998</c:v>
                </c:pt>
                <c:pt idx="5">
                  <c:v>25703679.503999997</c:v>
                </c:pt>
                <c:pt idx="6">
                  <c:v>18556039.552000005</c:v>
                </c:pt>
                <c:pt idx="7">
                  <c:v>20061147.615999997</c:v>
                </c:pt>
                <c:pt idx="8">
                  <c:v>22518592.687999986</c:v>
                </c:pt>
                <c:pt idx="9">
                  <c:v>25094944.103999987</c:v>
                </c:pt>
                <c:pt idx="10">
                  <c:v>23465166.680000011</c:v>
                </c:pt>
                <c:pt idx="11">
                  <c:v>23458005.864</c:v>
                </c:pt>
                <c:pt idx="12">
                  <c:v>20598511.239999998</c:v>
                </c:pt>
                <c:pt idx="13">
                  <c:v>23319885.640000015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38-49C7-AE38-9AC8E657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931616"/>
        <c:axId val="380933056"/>
      </c:lineChart>
      <c:catAx>
        <c:axId val="38093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Special 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33056"/>
        <c:crosses val="autoZero"/>
        <c:auto val="1"/>
        <c:lblAlgn val="ctr"/>
        <c:lblOffset val="100"/>
        <c:noMultiLvlLbl val="0"/>
      </c:catAx>
      <c:valAx>
        <c:axId val="3809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</a:t>
                </a:r>
                <a:r>
                  <a:rPr lang="en-US" baseline="0"/>
                  <a:t> Consumption (Wh)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31616"/>
        <c:crosses val="autoZero"/>
        <c:crossBetween val="between"/>
        <c:majorUnit val="5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13084</xdr:colOff>
      <xdr:row>175</xdr:row>
      <xdr:rowOff>38099</xdr:rowOff>
    </xdr:from>
    <xdr:to>
      <xdr:col>10</xdr:col>
      <xdr:colOff>413657</xdr:colOff>
      <xdr:row>196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FCD5F-2E80-4913-88D0-A69A1EF15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10698480"/>
          <a:ext cx="25069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BB4AC8-AF14-4EBB-B11E-A8FD376C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8420" y="10119360"/>
          <a:ext cx="2324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315DA0-2C67-430A-AA70-E2EC0A0C1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3660" y="9532620"/>
          <a:ext cx="23164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12AABC-0F0D-47A2-9E73-6376ACAB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8968740"/>
          <a:ext cx="22021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01DD93-EEDA-4B13-8649-A15121B9C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3180" y="8404860"/>
          <a:ext cx="21564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F5ED5D-6DC6-48B6-9D53-CAA3DAA73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4620" y="7863840"/>
          <a:ext cx="20878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B2707F-4FD5-44A9-93DB-64957602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7307580"/>
          <a:ext cx="20269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41BDC3-41A4-4792-B07F-2229E8AF8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9380" y="6751320"/>
          <a:ext cx="19659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6AB558-E6DC-4539-B391-0E751F3E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6040" y="6172200"/>
          <a:ext cx="21183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181A22-9E2E-4281-88FB-3059D2F7B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4140" y="5570220"/>
          <a:ext cx="2095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A36A2A9-27FB-4DE4-906B-BDC22212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5560" y="4983480"/>
          <a:ext cx="218694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698480"/>
          <a:ext cx="25069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0220" y="10119360"/>
          <a:ext cx="2324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5460" y="9532620"/>
          <a:ext cx="23164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8968740"/>
          <a:ext cx="22021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4980" y="8404860"/>
          <a:ext cx="21564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7863840"/>
          <a:ext cx="20878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7307580"/>
          <a:ext cx="20269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1180" y="6751320"/>
          <a:ext cx="19659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7840" y="6172200"/>
          <a:ext cx="211836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5940" y="5570220"/>
          <a:ext cx="20955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7360" y="4983480"/>
          <a:ext cx="218694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563880</xdr:colOff>
      <xdr:row>54</xdr:row>
      <xdr:rowOff>45720</xdr:rowOff>
    </xdr:from>
    <xdr:to>
      <xdr:col>21</xdr:col>
      <xdr:colOff>22860</xdr:colOff>
      <xdr:row>56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3530" y="10837545"/>
          <a:ext cx="2506980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571500</xdr:colOff>
      <xdr:row>51</xdr:row>
      <xdr:rowOff>60960</xdr:rowOff>
    </xdr:from>
    <xdr:to>
      <xdr:col>20</xdr:col>
      <xdr:colOff>457200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1150" y="10252710"/>
          <a:ext cx="232410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586740</xdr:colOff>
      <xdr:row>48</xdr:row>
      <xdr:rowOff>68580</xdr:rowOff>
    </xdr:from>
    <xdr:to>
      <xdr:col>20</xdr:col>
      <xdr:colOff>464820</xdr:colOff>
      <xdr:row>51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6390" y="9660255"/>
          <a:ext cx="23164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45</xdr:row>
      <xdr:rowOff>99060</xdr:rowOff>
    </xdr:from>
    <xdr:to>
      <xdr:col>20</xdr:col>
      <xdr:colOff>365760</xdr:colOff>
      <xdr:row>48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1630" y="9090660"/>
          <a:ext cx="22021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556260</xdr:colOff>
      <xdr:row>42</xdr:row>
      <xdr:rowOff>129540</xdr:rowOff>
    </xdr:from>
    <xdr:to>
      <xdr:col>20</xdr:col>
      <xdr:colOff>274320</xdr:colOff>
      <xdr:row>45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5910" y="8521065"/>
          <a:ext cx="21564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38100</xdr:colOff>
      <xdr:row>39</xdr:row>
      <xdr:rowOff>182880</xdr:rowOff>
    </xdr:from>
    <xdr:to>
      <xdr:col>20</xdr:col>
      <xdr:colOff>297180</xdr:colOff>
      <xdr:row>42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7974330"/>
          <a:ext cx="208788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601980</xdr:colOff>
      <xdr:row>37</xdr:row>
      <xdr:rowOff>22860</xdr:rowOff>
    </xdr:from>
    <xdr:to>
      <xdr:col>20</xdr:col>
      <xdr:colOff>190500</xdr:colOff>
      <xdr:row>39</xdr:row>
      <xdr:rowOff>160020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1630" y="7414260"/>
          <a:ext cx="2026920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</xdr:colOff>
      <xdr:row>34</xdr:row>
      <xdr:rowOff>60960</xdr:rowOff>
    </xdr:from>
    <xdr:to>
      <xdr:col>20</xdr:col>
      <xdr:colOff>160020</xdr:colOff>
      <xdr:row>37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2110" y="6852285"/>
          <a:ext cx="19659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579120</xdr:colOff>
      <xdr:row>31</xdr:row>
      <xdr:rowOff>76200</xdr:rowOff>
    </xdr:from>
    <xdr:to>
      <xdr:col>20</xdr:col>
      <xdr:colOff>259080</xdr:colOff>
      <xdr:row>34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8770" y="6267450"/>
          <a:ext cx="211836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</xdr:colOff>
      <xdr:row>28</xdr:row>
      <xdr:rowOff>68580</xdr:rowOff>
    </xdr:from>
    <xdr:to>
      <xdr:col>20</xdr:col>
      <xdr:colOff>274320</xdr:colOff>
      <xdr:row>31</xdr:row>
      <xdr:rowOff>7620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0" y="5659755"/>
          <a:ext cx="209550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548640</xdr:colOff>
      <xdr:row>25</xdr:row>
      <xdr:rowOff>76200</xdr:rowOff>
    </xdr:from>
    <xdr:to>
      <xdr:col>20</xdr:col>
      <xdr:colOff>297180</xdr:colOff>
      <xdr:row>28</xdr:row>
      <xdr:rowOff>15240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290" y="5067300"/>
          <a:ext cx="2186940" cy="539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2</xdr:row>
      <xdr:rowOff>26670</xdr:rowOff>
    </xdr:from>
    <xdr:to>
      <xdr:col>14</xdr:col>
      <xdr:colOff>579120</xdr:colOff>
      <xdr:row>15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J19"/>
  <sheetViews>
    <sheetView workbookViewId="0">
      <selection sqref="A1:J19"/>
    </sheetView>
  </sheetViews>
  <sheetFormatPr defaultRowHeight="14.4" x14ac:dyDescent="0.3"/>
  <cols>
    <col min="1" max="1" width="22.21875" customWidth="1"/>
    <col min="2" max="2" width="31.44140625" customWidth="1"/>
    <col min="3" max="3" width="21.88671875" customWidth="1"/>
    <col min="4" max="4" width="14.44140625" customWidth="1"/>
    <col min="5" max="5" width="15.44140625" customWidth="1"/>
    <col min="6" max="6" width="15.88671875" customWidth="1"/>
    <col min="7" max="7" width="14.6640625" customWidth="1"/>
    <col min="8" max="8" width="15.33203125" customWidth="1"/>
    <col min="9" max="9" width="10.109375" bestFit="1" customWidth="1"/>
  </cols>
  <sheetData>
    <row r="1" spans="1:10" x14ac:dyDescent="0.3">
      <c r="A1" s="18" t="s">
        <v>122</v>
      </c>
    </row>
    <row r="3" spans="1:10" ht="15.6" x14ac:dyDescent="0.3">
      <c r="A3" s="2" t="s">
        <v>123</v>
      </c>
      <c r="B3" s="2" t="s">
        <v>124</v>
      </c>
      <c r="C3" s="3" t="s">
        <v>125</v>
      </c>
      <c r="D3" s="107" t="s">
        <v>126</v>
      </c>
      <c r="E3" s="108"/>
      <c r="F3" s="108"/>
      <c r="G3" s="108"/>
      <c r="H3" s="108"/>
      <c r="I3" s="109" t="s">
        <v>25</v>
      </c>
      <c r="J3" s="109" t="s">
        <v>26</v>
      </c>
    </row>
    <row r="4" spans="1:10" ht="15.6" x14ac:dyDescent="0.3">
      <c r="A4" s="7"/>
      <c r="B4" s="7"/>
      <c r="C4" s="8"/>
      <c r="D4" s="9" t="s">
        <v>127</v>
      </c>
      <c r="E4" s="9" t="s">
        <v>128</v>
      </c>
      <c r="F4" s="9" t="s">
        <v>129</v>
      </c>
      <c r="G4" s="9" t="s">
        <v>130</v>
      </c>
      <c r="H4" s="9" t="s">
        <v>131</v>
      </c>
      <c r="I4" s="110"/>
      <c r="J4" s="110"/>
    </row>
    <row r="5" spans="1:10" ht="15.6" x14ac:dyDescent="0.3">
      <c r="A5" s="2" t="s">
        <v>132</v>
      </c>
      <c r="B5" s="1" t="s">
        <v>137</v>
      </c>
      <c r="C5" s="1" t="s">
        <v>151</v>
      </c>
      <c r="D5" s="17">
        <v>21584537.699999999</v>
      </c>
      <c r="E5" s="17">
        <v>22686538.98</v>
      </c>
      <c r="F5" s="17">
        <v>23612436.600000001</v>
      </c>
      <c r="G5" s="17">
        <v>26977415.219999999</v>
      </c>
      <c r="H5" s="17">
        <v>22567256.215999998</v>
      </c>
      <c r="I5" s="1">
        <f>(D5+E5+F5+G5)/4</f>
        <v>23715232.125</v>
      </c>
      <c r="J5" s="1">
        <f>((H5-I5)/I5)*100</f>
        <v>-4.8406690811591702</v>
      </c>
    </row>
    <row r="6" spans="1:10" ht="15.6" x14ac:dyDescent="0.3">
      <c r="A6" s="7"/>
      <c r="B6" s="1" t="s">
        <v>138</v>
      </c>
      <c r="C6" s="1" t="s">
        <v>152</v>
      </c>
      <c r="D6" s="17">
        <v>25800705.449999999</v>
      </c>
      <c r="E6" s="17">
        <v>24137736.520000003</v>
      </c>
      <c r="F6" s="17">
        <v>23092416.329999998</v>
      </c>
      <c r="G6" s="17">
        <v>21587125.5</v>
      </c>
      <c r="H6" s="17">
        <v>23420438.151999995</v>
      </c>
      <c r="I6" s="1">
        <f t="shared" ref="I6:I18" si="0">(D6+E6+F6+G6)/4</f>
        <v>23654495.949999999</v>
      </c>
      <c r="J6" s="1">
        <f t="shared" ref="J6:J18" si="1">((H6-I6)/I6)*100</f>
        <v>-0.98948545973986046</v>
      </c>
    </row>
    <row r="7" spans="1:10" ht="15.6" x14ac:dyDescent="0.3">
      <c r="A7" s="2" t="s">
        <v>133</v>
      </c>
      <c r="B7" s="1" t="s">
        <v>139</v>
      </c>
      <c r="C7" s="1" t="s">
        <v>153</v>
      </c>
      <c r="D7" s="17">
        <v>23826315.671999998</v>
      </c>
      <c r="E7" s="17">
        <v>20324141.752</v>
      </c>
      <c r="F7" s="17">
        <v>22423341.800000001</v>
      </c>
      <c r="G7" s="17">
        <v>21423341.800000001</v>
      </c>
      <c r="H7" s="17">
        <v>21625341.699999999</v>
      </c>
      <c r="I7" s="1">
        <f t="shared" si="0"/>
        <v>21999285.255999997</v>
      </c>
      <c r="J7" s="1">
        <f t="shared" si="1"/>
        <v>-1.6997986600406034</v>
      </c>
    </row>
    <row r="8" spans="1:10" ht="15.6" x14ac:dyDescent="0.3">
      <c r="A8" s="13"/>
      <c r="B8" s="1" t="s">
        <v>140</v>
      </c>
      <c r="C8" s="1" t="s">
        <v>154</v>
      </c>
      <c r="D8" s="17">
        <v>22587125.495999999</v>
      </c>
      <c r="E8" s="17">
        <v>23998475.600000001</v>
      </c>
      <c r="F8" s="17">
        <v>22757124.800000001</v>
      </c>
      <c r="G8" s="17">
        <v>23689125.800000001</v>
      </c>
      <c r="H8" s="17">
        <v>23812488.471999999</v>
      </c>
      <c r="I8" s="1">
        <f t="shared" si="0"/>
        <v>23257962.923999999</v>
      </c>
      <c r="J8" s="1">
        <f t="shared" si="1"/>
        <v>2.3842395390001374</v>
      </c>
    </row>
    <row r="9" spans="1:10" ht="15.6" x14ac:dyDescent="0.3">
      <c r="A9" s="13"/>
      <c r="B9" s="1" t="s">
        <v>141</v>
      </c>
      <c r="C9" s="1" t="s">
        <v>155</v>
      </c>
      <c r="D9" s="17">
        <v>26102309.903999984</v>
      </c>
      <c r="E9" s="17">
        <v>26567256.699999999</v>
      </c>
      <c r="F9" s="17">
        <v>25763256.800000001</v>
      </c>
      <c r="G9" s="17">
        <v>26363239.527999997</v>
      </c>
      <c r="H9" s="17">
        <v>26978630.167999983</v>
      </c>
      <c r="I9" s="1">
        <f t="shared" si="0"/>
        <v>26199015.732999995</v>
      </c>
      <c r="J9" s="1">
        <f t="shared" si="1"/>
        <v>2.975739405423516</v>
      </c>
    </row>
    <row r="10" spans="1:10" ht="15.6" x14ac:dyDescent="0.3">
      <c r="A10" s="13"/>
      <c r="B10" s="1" t="s">
        <v>142</v>
      </c>
      <c r="C10" s="1" t="s">
        <v>156</v>
      </c>
      <c r="D10" s="17">
        <v>24520980.807999998</v>
      </c>
      <c r="E10" s="17">
        <v>25901645.223999999</v>
      </c>
      <c r="F10" s="17">
        <v>24987811.352000009</v>
      </c>
      <c r="G10" s="17">
        <v>26006907.471999992</v>
      </c>
      <c r="H10" s="17">
        <v>25901645.223999999</v>
      </c>
      <c r="I10" s="1">
        <f t="shared" si="0"/>
        <v>25354336.213999998</v>
      </c>
      <c r="J10" s="1">
        <f t="shared" si="1"/>
        <v>2.1586406576788706</v>
      </c>
    </row>
    <row r="11" spans="1:10" ht="15.6" x14ac:dyDescent="0.3">
      <c r="A11" s="13"/>
      <c r="B11" s="1" t="s">
        <v>143</v>
      </c>
      <c r="C11" s="1" t="s">
        <v>157</v>
      </c>
      <c r="D11" s="17">
        <v>22151894.68</v>
      </c>
      <c r="E11" s="17">
        <v>22742761.087999996</v>
      </c>
      <c r="F11" s="17">
        <v>23242825.447999999</v>
      </c>
      <c r="G11" s="17">
        <v>22572629.719999999</v>
      </c>
      <c r="H11" s="17">
        <v>22949801.759999998</v>
      </c>
      <c r="I11" s="1">
        <f t="shared" si="0"/>
        <v>22677527.733999997</v>
      </c>
      <c r="J11" s="1">
        <f t="shared" si="1"/>
        <v>1.2006336369364687</v>
      </c>
    </row>
    <row r="12" spans="1:10" ht="15.6" x14ac:dyDescent="0.3">
      <c r="A12" s="13"/>
      <c r="B12" s="1" t="s">
        <v>144</v>
      </c>
      <c r="C12" s="1" t="s">
        <v>158</v>
      </c>
      <c r="D12" s="17">
        <v>22742761.087999996</v>
      </c>
      <c r="E12" s="17">
        <v>23242825.447999999</v>
      </c>
      <c r="F12" s="17">
        <v>22572629.719999999</v>
      </c>
      <c r="G12" s="17">
        <v>22949801.759999998</v>
      </c>
      <c r="H12" s="17">
        <v>23457312.649999999</v>
      </c>
      <c r="I12" s="1">
        <f t="shared" si="0"/>
        <v>22877004.504000001</v>
      </c>
      <c r="J12" s="1">
        <f t="shared" si="1"/>
        <v>2.5366439294905594</v>
      </c>
    </row>
    <row r="13" spans="1:10" ht="15.6" x14ac:dyDescent="0.3">
      <c r="A13" s="2" t="s">
        <v>134</v>
      </c>
      <c r="B13" s="1" t="s">
        <v>145</v>
      </c>
      <c r="C13" s="1" t="s">
        <v>159</v>
      </c>
      <c r="D13" s="17">
        <v>22224364.263999995</v>
      </c>
      <c r="E13" s="17">
        <v>24161369.519999996</v>
      </c>
      <c r="F13" s="17">
        <v>23302241.816000003</v>
      </c>
      <c r="G13" s="17">
        <v>23273985.335999999</v>
      </c>
      <c r="H13" s="17">
        <v>23007013.184</v>
      </c>
      <c r="I13" s="1">
        <f t="shared" si="0"/>
        <v>23240490.233999997</v>
      </c>
      <c r="J13" s="1">
        <f t="shared" si="1"/>
        <v>-1.0046132747166776</v>
      </c>
    </row>
    <row r="14" spans="1:10" ht="15.6" x14ac:dyDescent="0.3">
      <c r="A14" s="13"/>
      <c r="B14" s="1" t="s">
        <v>146</v>
      </c>
      <c r="C14" s="1" t="s">
        <v>160</v>
      </c>
      <c r="D14" s="17">
        <v>23000644.136</v>
      </c>
      <c r="E14" s="17">
        <v>27058926.191999994</v>
      </c>
      <c r="F14" s="17">
        <v>23398859.120000008</v>
      </c>
      <c r="G14" s="17">
        <v>22151894.68</v>
      </c>
      <c r="H14" s="17">
        <v>22742761.087999996</v>
      </c>
      <c r="I14" s="1">
        <f t="shared" si="0"/>
        <v>23902581.031999998</v>
      </c>
      <c r="J14" s="1">
        <f t="shared" si="1"/>
        <v>-4.8522791009358901</v>
      </c>
    </row>
    <row r="15" spans="1:10" ht="15.6" x14ac:dyDescent="0.3">
      <c r="A15" s="13"/>
      <c r="B15" s="1" t="s">
        <v>147</v>
      </c>
      <c r="C15" s="1" t="s">
        <v>161</v>
      </c>
      <c r="D15" s="17">
        <v>25465121.530000001</v>
      </c>
      <c r="E15" s="17">
        <v>26931676.223999992</v>
      </c>
      <c r="F15" s="17">
        <v>24803188.583999999</v>
      </c>
      <c r="G15" s="17">
        <v>25181153.752</v>
      </c>
      <c r="H15" s="17">
        <v>25456619.983999997</v>
      </c>
      <c r="I15" s="1">
        <f t="shared" si="0"/>
        <v>25595285.022500001</v>
      </c>
      <c r="J15" s="1">
        <f t="shared" si="1"/>
        <v>-0.54176008736807379</v>
      </c>
    </row>
    <row r="16" spans="1:10" ht="15.6" x14ac:dyDescent="0.3">
      <c r="A16" s="2" t="s">
        <v>135</v>
      </c>
      <c r="B16" s="21" t="s">
        <v>148</v>
      </c>
      <c r="C16" s="1" t="s">
        <v>162</v>
      </c>
      <c r="D16" s="17">
        <v>26006907.471999992</v>
      </c>
      <c r="E16" s="17">
        <v>25901645.223999999</v>
      </c>
      <c r="F16" s="17">
        <v>25002605.620000001</v>
      </c>
      <c r="G16" s="17">
        <v>24801785.420000002</v>
      </c>
      <c r="H16" s="17">
        <v>24601645.223999999</v>
      </c>
      <c r="I16" s="1">
        <f t="shared" si="0"/>
        <v>25428235.934</v>
      </c>
      <c r="J16" s="1">
        <f t="shared" si="1"/>
        <v>-3.250680511795824</v>
      </c>
    </row>
    <row r="17" spans="1:10" ht="15.6" x14ac:dyDescent="0.3">
      <c r="A17" s="13" t="s">
        <v>136</v>
      </c>
      <c r="B17" s="21" t="s">
        <v>149</v>
      </c>
      <c r="C17" s="1" t="s">
        <v>163</v>
      </c>
      <c r="D17" s="17">
        <v>28134040.272000011</v>
      </c>
      <c r="E17" s="17">
        <v>29372832.152000003</v>
      </c>
      <c r="F17" s="17">
        <v>29493308.127999984</v>
      </c>
      <c r="G17" s="17">
        <v>27138620.024</v>
      </c>
      <c r="H17" s="17">
        <v>23110877.312000003</v>
      </c>
      <c r="I17" s="1">
        <f t="shared" si="0"/>
        <v>28534700.143999998</v>
      </c>
      <c r="J17" s="1">
        <f t="shared" si="1"/>
        <v>-19.007814361562385</v>
      </c>
    </row>
    <row r="18" spans="1:10" ht="15.6" x14ac:dyDescent="0.3">
      <c r="A18" s="13"/>
      <c r="B18" s="22" t="s">
        <v>150</v>
      </c>
      <c r="C18" s="1" t="s">
        <v>164</v>
      </c>
      <c r="D18" s="17">
        <v>23398859.120000008</v>
      </c>
      <c r="E18" s="16">
        <v>21973606.032000009</v>
      </c>
      <c r="F18" s="16">
        <v>22838016.532000002</v>
      </c>
      <c r="G18" s="17">
        <v>22732674.760000002</v>
      </c>
      <c r="H18" s="17">
        <v>22035483.85600001</v>
      </c>
      <c r="I18" s="1">
        <f t="shared" si="0"/>
        <v>22735789.111000005</v>
      </c>
      <c r="J18" s="1">
        <f t="shared" si="1"/>
        <v>-3.0801889108884031</v>
      </c>
    </row>
    <row r="19" spans="1:10" ht="15.6" x14ac:dyDescent="0.3">
      <c r="A19" s="7"/>
      <c r="B19" s="21"/>
      <c r="C19" s="1"/>
      <c r="D19" s="1"/>
      <c r="E19" s="1"/>
      <c r="F19" s="1"/>
      <c r="G19" s="1"/>
      <c r="H19" s="1"/>
      <c r="I19" s="1"/>
      <c r="J19" s="1"/>
    </row>
  </sheetData>
  <mergeCells count="3">
    <mergeCell ref="D3:H3"/>
    <mergeCell ref="I3:I4"/>
    <mergeCell ref="J3:J4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19"/>
  <sheetViews>
    <sheetView topLeftCell="B1" workbookViewId="0">
      <selection activeCell="K5" sqref="K5:L18"/>
    </sheetView>
  </sheetViews>
  <sheetFormatPr defaultRowHeight="14.4" x14ac:dyDescent="0.3"/>
  <cols>
    <col min="1" max="1" width="21.77734375" customWidth="1"/>
    <col min="2" max="2" width="29.33203125" customWidth="1"/>
    <col min="3" max="3" width="20.109375" customWidth="1"/>
    <col min="4" max="4" width="14.44140625" customWidth="1"/>
    <col min="5" max="5" width="14.33203125" customWidth="1"/>
    <col min="6" max="6" width="13.5546875" customWidth="1"/>
    <col min="7" max="7" width="16.109375" customWidth="1"/>
    <col min="8" max="8" width="15.33203125" customWidth="1"/>
    <col min="9" max="9" width="12.6640625" customWidth="1"/>
    <col min="10" max="10" width="13.44140625" customWidth="1"/>
  </cols>
  <sheetData>
    <row r="1" spans="1:12" x14ac:dyDescent="0.3">
      <c r="A1" s="18" t="s">
        <v>165</v>
      </c>
    </row>
    <row r="3" spans="1:12" ht="15.6" x14ac:dyDescent="0.3">
      <c r="A3" s="2" t="s">
        <v>123</v>
      </c>
      <c r="B3" s="2" t="s">
        <v>124</v>
      </c>
      <c r="C3" s="3" t="s">
        <v>125</v>
      </c>
      <c r="D3" s="107" t="s">
        <v>126</v>
      </c>
      <c r="E3" s="108"/>
      <c r="F3" s="108"/>
      <c r="G3" s="108"/>
      <c r="H3" s="108"/>
      <c r="I3" s="109" t="s">
        <v>25</v>
      </c>
      <c r="J3" s="109" t="s">
        <v>26</v>
      </c>
      <c r="K3" s="109" t="s">
        <v>28</v>
      </c>
      <c r="L3" s="109" t="s">
        <v>27</v>
      </c>
    </row>
    <row r="4" spans="1:12" ht="15.6" x14ac:dyDescent="0.3">
      <c r="A4" s="7"/>
      <c r="B4" s="7"/>
      <c r="C4" s="8"/>
      <c r="D4" s="9" t="s">
        <v>127</v>
      </c>
      <c r="E4" s="9" t="s">
        <v>128</v>
      </c>
      <c r="F4" s="9" t="s">
        <v>129</v>
      </c>
      <c r="G4" s="9" t="s">
        <v>130</v>
      </c>
      <c r="H4" s="9" t="s">
        <v>131</v>
      </c>
      <c r="I4" s="110"/>
      <c r="J4" s="110"/>
      <c r="K4" s="110"/>
      <c r="L4" s="110"/>
    </row>
    <row r="5" spans="1:12" ht="15.6" x14ac:dyDescent="0.3">
      <c r="A5" s="2" t="s">
        <v>132</v>
      </c>
      <c r="B5" s="1" t="s">
        <v>137</v>
      </c>
      <c r="C5" s="1" t="s">
        <v>166</v>
      </c>
      <c r="D5" s="17">
        <v>26362121.208000001</v>
      </c>
      <c r="E5" s="17">
        <v>24633071.568</v>
      </c>
      <c r="F5" s="17">
        <v>25633791.520000003</v>
      </c>
      <c r="G5" s="17">
        <v>23463371.135999996</v>
      </c>
      <c r="H5" s="17">
        <v>23718257.920000002</v>
      </c>
      <c r="I5" s="1">
        <f>(D5+E5+F5+G5)/4</f>
        <v>25023088.857999999</v>
      </c>
      <c r="J5" s="1">
        <f>((H5-I5)/I5)*100</f>
        <v>-5.2145078707293031</v>
      </c>
      <c r="K5" s="1">
        <f>'2020a'!J5</f>
        <v>-4.8406690811591702</v>
      </c>
      <c r="L5" s="1">
        <f>J5-K5</f>
        <v>-0.37383878957013295</v>
      </c>
    </row>
    <row r="6" spans="1:12" ht="15.6" x14ac:dyDescent="0.3">
      <c r="A6" s="7"/>
      <c r="B6" s="1" t="s">
        <v>138</v>
      </c>
      <c r="C6" s="1" t="s">
        <v>167</v>
      </c>
      <c r="D6" s="17">
        <v>24464887.703999996</v>
      </c>
      <c r="E6" s="17">
        <v>25477371.424000002</v>
      </c>
      <c r="F6" s="17">
        <v>23241234.775999993</v>
      </c>
      <c r="G6" s="17">
        <v>25411913.712000001</v>
      </c>
      <c r="H6" s="17">
        <v>23452361.048</v>
      </c>
      <c r="I6" s="1">
        <f t="shared" ref="I6:I18" si="0">(D6+E6+F6+G6)/4</f>
        <v>24648851.903999995</v>
      </c>
      <c r="J6" s="1">
        <f t="shared" ref="J6:J18" si="1">((H6-I6)/I6)*100</f>
        <v>-4.8541443660742249</v>
      </c>
      <c r="K6" s="1">
        <f>'2020a'!J6</f>
        <v>-0.98948545973986046</v>
      </c>
      <c r="L6" s="1">
        <f t="shared" ref="L6:L16" si="2">J6-K6</f>
        <v>-3.8646589063343644</v>
      </c>
    </row>
    <row r="7" spans="1:12" ht="15.6" x14ac:dyDescent="0.3">
      <c r="A7" s="2" t="s">
        <v>133</v>
      </c>
      <c r="B7" s="1" t="s">
        <v>139</v>
      </c>
      <c r="C7" s="1" t="s">
        <v>168</v>
      </c>
      <c r="D7" s="17">
        <v>23442565.928000003</v>
      </c>
      <c r="E7" s="17">
        <v>23481885.847999997</v>
      </c>
      <c r="F7" s="17">
        <v>21702795.328000002</v>
      </c>
      <c r="G7" s="17">
        <v>25998746.688000008</v>
      </c>
      <c r="H7" s="17">
        <v>22686861.579199996</v>
      </c>
      <c r="I7" s="1">
        <f t="shared" si="0"/>
        <v>23656498.448000003</v>
      </c>
      <c r="J7" s="1">
        <f t="shared" si="1"/>
        <v>-4.0988182208427517</v>
      </c>
      <c r="K7" s="1">
        <f>'2020a'!J7</f>
        <v>-1.6997986600406034</v>
      </c>
      <c r="L7" s="1">
        <f t="shared" si="2"/>
        <v>-2.3990195608021483</v>
      </c>
    </row>
    <row r="8" spans="1:12" ht="15.6" x14ac:dyDescent="0.3">
      <c r="A8" s="13"/>
      <c r="B8" s="1" t="s">
        <v>140</v>
      </c>
      <c r="C8" s="1" t="s">
        <v>169</v>
      </c>
      <c r="D8" s="17">
        <v>25064032.232000001</v>
      </c>
      <c r="E8" s="17">
        <v>25622147.048</v>
      </c>
      <c r="F8" s="17">
        <v>23650703.151999995</v>
      </c>
      <c r="G8" s="17">
        <v>23507110.208000004</v>
      </c>
      <c r="H8" s="17">
        <v>24934535.199999996</v>
      </c>
      <c r="I8" s="1">
        <f t="shared" si="0"/>
        <v>24460998.16</v>
      </c>
      <c r="J8" s="1">
        <f t="shared" si="1"/>
        <v>1.9358860047434603</v>
      </c>
      <c r="K8" s="1">
        <f>'2020a'!J8</f>
        <v>2.3842395390001374</v>
      </c>
      <c r="L8" s="1">
        <f t="shared" si="2"/>
        <v>-0.44835353425667712</v>
      </c>
    </row>
    <row r="9" spans="1:12" ht="15.6" x14ac:dyDescent="0.3">
      <c r="A9" s="13"/>
      <c r="B9" s="1" t="s">
        <v>141</v>
      </c>
      <c r="C9" s="1" t="s">
        <v>170</v>
      </c>
      <c r="D9" s="17">
        <v>28519671.400000002</v>
      </c>
      <c r="E9" s="17">
        <v>29260419.655999996</v>
      </c>
      <c r="F9" s="17">
        <v>30285709.800000001</v>
      </c>
      <c r="G9" s="17">
        <v>27039561.927999996</v>
      </c>
      <c r="H9" s="17">
        <v>27274019.976000007</v>
      </c>
      <c r="I9" s="1">
        <f t="shared" si="0"/>
        <v>28776340.695999995</v>
      </c>
      <c r="J9" s="1">
        <f t="shared" si="1"/>
        <v>-5.2206801965227463</v>
      </c>
      <c r="K9" s="1">
        <f>'2020a'!J9</f>
        <v>2.975739405423516</v>
      </c>
      <c r="L9" s="1">
        <f t="shared" si="2"/>
        <v>-8.1964196019462623</v>
      </c>
    </row>
    <row r="10" spans="1:12" ht="15.6" x14ac:dyDescent="0.3">
      <c r="A10" s="13"/>
      <c r="B10" s="1" t="s">
        <v>142</v>
      </c>
      <c r="C10" s="1" t="s">
        <v>171</v>
      </c>
      <c r="D10" s="17">
        <v>23979209.128000002</v>
      </c>
      <c r="E10" s="17">
        <v>24342529.928000003</v>
      </c>
      <c r="F10" s="17">
        <v>26026583.535999998</v>
      </c>
      <c r="G10" s="17">
        <v>26684616.800000001</v>
      </c>
      <c r="H10" s="17">
        <v>24409353.584000006</v>
      </c>
      <c r="I10" s="1">
        <f t="shared" si="0"/>
        <v>25258234.848000001</v>
      </c>
      <c r="J10" s="1">
        <f t="shared" si="1"/>
        <v>-3.3608099263801523</v>
      </c>
      <c r="K10" s="1">
        <f>'2020a'!J10</f>
        <v>2.1586406576788706</v>
      </c>
      <c r="L10" s="1">
        <f t="shared" si="2"/>
        <v>-5.5194505840590224</v>
      </c>
    </row>
    <row r="11" spans="1:12" ht="15.6" x14ac:dyDescent="0.3">
      <c r="A11" s="13"/>
      <c r="B11" s="1" t="s">
        <v>143</v>
      </c>
      <c r="C11" s="1" t="s">
        <v>172</v>
      </c>
      <c r="D11" s="17">
        <v>24755826.168000001</v>
      </c>
      <c r="E11" s="17">
        <v>24872874.16</v>
      </c>
      <c r="F11" s="17">
        <v>25198627.447999999</v>
      </c>
      <c r="G11" s="17">
        <v>24279438.456</v>
      </c>
      <c r="H11" s="17">
        <v>23852582.799999997</v>
      </c>
      <c r="I11" s="1">
        <f t="shared" si="0"/>
        <v>24776691.557999998</v>
      </c>
      <c r="J11" s="1">
        <f t="shared" si="1"/>
        <v>-3.729750422233518</v>
      </c>
      <c r="K11" s="1">
        <f>'2020a'!J11</f>
        <v>1.2006336369364687</v>
      </c>
      <c r="L11" s="1">
        <f t="shared" si="2"/>
        <v>-4.9303840591699863</v>
      </c>
    </row>
    <row r="12" spans="1:12" ht="15.6" x14ac:dyDescent="0.3">
      <c r="A12" s="13"/>
      <c r="B12" s="1" t="s">
        <v>144</v>
      </c>
      <c r="C12" s="1" t="s">
        <v>173</v>
      </c>
      <c r="D12" s="17">
        <v>24872874.16</v>
      </c>
      <c r="E12" s="17">
        <v>25198627.447999999</v>
      </c>
      <c r="F12" s="17">
        <v>24279438.456</v>
      </c>
      <c r="G12" s="17">
        <v>23852582.799999997</v>
      </c>
      <c r="H12" s="17">
        <v>23441135.967999995</v>
      </c>
      <c r="I12" s="1">
        <f t="shared" si="0"/>
        <v>24550880.715999998</v>
      </c>
      <c r="J12" s="1">
        <f t="shared" si="1"/>
        <v>-4.5201830469437061</v>
      </c>
      <c r="K12" s="1">
        <f>'2020a'!J12</f>
        <v>2.5366439294905594</v>
      </c>
      <c r="L12" s="1">
        <f t="shared" si="2"/>
        <v>-7.0568269764342659</v>
      </c>
    </row>
    <row r="13" spans="1:12" ht="15.6" x14ac:dyDescent="0.3">
      <c r="A13" s="2" t="s">
        <v>134</v>
      </c>
      <c r="B13" s="1" t="s">
        <v>145</v>
      </c>
      <c r="C13" s="1" t="s">
        <v>174</v>
      </c>
      <c r="D13" s="17">
        <v>25719603.216000006</v>
      </c>
      <c r="E13" s="17">
        <v>25409160.623999998</v>
      </c>
      <c r="F13" s="17">
        <v>25820456.824000001</v>
      </c>
      <c r="G13" s="17">
        <v>25128780.719999999</v>
      </c>
      <c r="H13" s="17">
        <v>22751771.327999998</v>
      </c>
      <c r="I13" s="1">
        <f t="shared" si="0"/>
        <v>25519500.346000001</v>
      </c>
      <c r="J13" s="1">
        <f t="shared" si="1"/>
        <v>-10.84554548668436</v>
      </c>
      <c r="K13" s="1">
        <f>'2020a'!J13</f>
        <v>-1.0046132747166776</v>
      </c>
      <c r="L13" s="1">
        <f t="shared" si="2"/>
        <v>-9.840932211967683</v>
      </c>
    </row>
    <row r="14" spans="1:12" ht="15.6" x14ac:dyDescent="0.3">
      <c r="A14" s="13"/>
      <c r="B14" s="1" t="s">
        <v>146</v>
      </c>
      <c r="C14" s="1" t="s">
        <v>172</v>
      </c>
      <c r="D14" s="17">
        <v>24755826.168000001</v>
      </c>
      <c r="E14" s="17">
        <v>24872874.16</v>
      </c>
      <c r="F14" s="17">
        <v>25198627.447999999</v>
      </c>
      <c r="G14" s="17">
        <v>24279438.456</v>
      </c>
      <c r="H14" s="17">
        <v>23852582.799999997</v>
      </c>
      <c r="I14" s="1">
        <f t="shared" si="0"/>
        <v>24776691.557999998</v>
      </c>
      <c r="J14" s="1">
        <f t="shared" si="1"/>
        <v>-3.729750422233518</v>
      </c>
      <c r="K14" s="1">
        <f>'2020a'!J14</f>
        <v>-4.8522791009358901</v>
      </c>
      <c r="L14" s="1">
        <f t="shared" si="2"/>
        <v>1.1225286787023721</v>
      </c>
    </row>
    <row r="15" spans="1:12" ht="15.6" x14ac:dyDescent="0.3">
      <c r="A15" s="13"/>
      <c r="B15" s="1" t="s">
        <v>147</v>
      </c>
      <c r="C15" s="1" t="s">
        <v>175</v>
      </c>
      <c r="D15" s="17">
        <v>26516165.095999993</v>
      </c>
      <c r="E15" s="17">
        <v>27408592.000000007</v>
      </c>
      <c r="F15" s="17">
        <v>25976683.439999998</v>
      </c>
      <c r="G15" s="17">
        <v>26636426.296</v>
      </c>
      <c r="H15" s="17">
        <v>22815692.079999991</v>
      </c>
      <c r="I15" s="1">
        <f t="shared" si="0"/>
        <v>26634466.708000001</v>
      </c>
      <c r="J15" s="1">
        <f t="shared" si="1"/>
        <v>-14.337717626810948</v>
      </c>
      <c r="K15" s="1">
        <f>'2020a'!J15</f>
        <v>-0.54176008736807379</v>
      </c>
      <c r="L15" s="1">
        <f t="shared" si="2"/>
        <v>-13.795957539442874</v>
      </c>
    </row>
    <row r="16" spans="1:12" ht="15.6" x14ac:dyDescent="0.3">
      <c r="A16" s="2" t="s">
        <v>135</v>
      </c>
      <c r="B16" s="21" t="s">
        <v>148</v>
      </c>
      <c r="C16" s="1" t="s">
        <v>176</v>
      </c>
      <c r="D16" s="17">
        <v>24409353.584000006</v>
      </c>
      <c r="E16" s="17">
        <v>25152061.600000001</v>
      </c>
      <c r="F16" s="17">
        <v>25952051.375999998</v>
      </c>
      <c r="G16" s="17">
        <v>27224238.232000005</v>
      </c>
      <c r="H16" s="17">
        <v>23287769.416000001</v>
      </c>
      <c r="I16" s="1">
        <f t="shared" si="0"/>
        <v>25684426.198000003</v>
      </c>
      <c r="J16" s="1">
        <f t="shared" si="1"/>
        <v>-9.3311673133138733</v>
      </c>
      <c r="K16" s="1">
        <f>'2020a'!J16</f>
        <v>-3.250680511795824</v>
      </c>
      <c r="L16" s="1">
        <f t="shared" si="2"/>
        <v>-6.0804868015180489</v>
      </c>
    </row>
    <row r="17" spans="1:12" ht="15.6" x14ac:dyDescent="0.3">
      <c r="A17" s="13" t="s">
        <v>136</v>
      </c>
      <c r="B17" s="21" t="s">
        <v>149</v>
      </c>
      <c r="C17" s="1" t="s">
        <v>177</v>
      </c>
      <c r="D17" s="17">
        <v>24822864.728</v>
      </c>
      <c r="E17" s="17">
        <v>24612050.239999995</v>
      </c>
      <c r="F17" s="17">
        <v>25128608.719999999</v>
      </c>
      <c r="G17" s="17">
        <v>25605728.759999998</v>
      </c>
      <c r="H17" s="17">
        <v>22254695.648000006</v>
      </c>
      <c r="I17" s="1">
        <f t="shared" si="0"/>
        <v>25042313.111999996</v>
      </c>
      <c r="J17" s="1">
        <f t="shared" si="1"/>
        <v>-11.131629300905894</v>
      </c>
      <c r="K17" s="1">
        <f>'2020a'!J17</f>
        <v>-19.007814361562385</v>
      </c>
      <c r="L17" s="1">
        <f>J17-K17</f>
        <v>7.8761850606564909</v>
      </c>
    </row>
    <row r="18" spans="1:12" ht="15.6" x14ac:dyDescent="0.3">
      <c r="A18" s="13"/>
      <c r="B18" s="22" t="s">
        <v>150</v>
      </c>
      <c r="C18" s="1" t="s">
        <v>178</v>
      </c>
      <c r="D18" s="17">
        <v>19097262.991999999</v>
      </c>
      <c r="E18" s="17">
        <v>22373731.048</v>
      </c>
      <c r="F18" s="17">
        <v>25978307.119999997</v>
      </c>
      <c r="G18" s="17">
        <v>25999101.447999999</v>
      </c>
      <c r="H18" s="17">
        <v>23862345.607999995</v>
      </c>
      <c r="I18" s="1">
        <f t="shared" si="0"/>
        <v>23362100.651999999</v>
      </c>
      <c r="J18" s="1">
        <f t="shared" si="1"/>
        <v>2.1412670181145339</v>
      </c>
      <c r="K18" s="1">
        <f>'2020a'!J18</f>
        <v>-3.0801889108884031</v>
      </c>
      <c r="L18" s="1">
        <f>J18-K18</f>
        <v>5.2214559290029374</v>
      </c>
    </row>
    <row r="19" spans="1:12" ht="15.6" x14ac:dyDescent="0.3">
      <c r="A19" s="7"/>
      <c r="B19" s="21"/>
      <c r="C19" s="1"/>
      <c r="D19" s="17"/>
      <c r="E19" s="17"/>
      <c r="F19" s="17"/>
      <c r="G19" s="17"/>
      <c r="H19" s="17"/>
      <c r="I19" s="1"/>
      <c r="J19" s="1"/>
    </row>
  </sheetData>
  <mergeCells count="5">
    <mergeCell ref="D3:H3"/>
    <mergeCell ref="I3:I4"/>
    <mergeCell ref="J3:J4"/>
    <mergeCell ref="K3:K4"/>
    <mergeCell ref="L3:L4"/>
  </mergeCells>
  <pageMargins left="0.7" right="0.7" top="0.75" bottom="0.75" header="0.3" footer="0.3"/>
  <pageSetup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L19"/>
  <sheetViews>
    <sheetView workbookViewId="0">
      <selection activeCell="K5" sqref="K5"/>
    </sheetView>
  </sheetViews>
  <sheetFormatPr defaultRowHeight="14.4" x14ac:dyDescent="0.3"/>
  <cols>
    <col min="1" max="1" width="23.21875" customWidth="1"/>
    <col min="2" max="2" width="30.6640625" customWidth="1"/>
    <col min="3" max="3" width="20.88671875" customWidth="1"/>
    <col min="4" max="4" width="15.109375" customWidth="1"/>
    <col min="5" max="5" width="16.44140625" customWidth="1"/>
    <col min="6" max="6" width="16.33203125" customWidth="1"/>
    <col min="7" max="7" width="14.6640625" customWidth="1"/>
    <col min="8" max="8" width="15.6640625" customWidth="1"/>
    <col min="9" max="9" width="20.6640625" customWidth="1"/>
  </cols>
  <sheetData>
    <row r="1" spans="1:12" x14ac:dyDescent="0.3">
      <c r="A1" s="18" t="s">
        <v>179</v>
      </c>
    </row>
    <row r="3" spans="1:12" ht="15.6" x14ac:dyDescent="0.3">
      <c r="A3" s="2" t="s">
        <v>123</v>
      </c>
      <c r="B3" s="2" t="s">
        <v>124</v>
      </c>
      <c r="C3" s="3" t="s">
        <v>125</v>
      </c>
      <c r="D3" s="107" t="s">
        <v>126</v>
      </c>
      <c r="E3" s="108"/>
      <c r="F3" s="108"/>
      <c r="G3" s="108"/>
      <c r="H3" s="108"/>
      <c r="I3" s="109" t="s">
        <v>25</v>
      </c>
      <c r="J3" s="109" t="s">
        <v>26</v>
      </c>
      <c r="K3" s="109" t="s">
        <v>28</v>
      </c>
      <c r="L3" s="109" t="s">
        <v>27</v>
      </c>
    </row>
    <row r="4" spans="1:12" ht="15.6" x14ac:dyDescent="0.3">
      <c r="A4" s="7"/>
      <c r="B4" s="7"/>
      <c r="C4" s="8"/>
      <c r="D4" s="9" t="s">
        <v>127</v>
      </c>
      <c r="E4" s="9" t="s">
        <v>128</v>
      </c>
      <c r="F4" s="9" t="s">
        <v>129</v>
      </c>
      <c r="G4" s="9" t="s">
        <v>130</v>
      </c>
      <c r="H4" s="9" t="s">
        <v>131</v>
      </c>
      <c r="I4" s="110"/>
      <c r="J4" s="110"/>
      <c r="K4" s="110"/>
      <c r="L4" s="110"/>
    </row>
    <row r="5" spans="1:12" ht="15.6" x14ac:dyDescent="0.3">
      <c r="A5" s="2" t="s">
        <v>132</v>
      </c>
      <c r="B5" s="1" t="s">
        <v>137</v>
      </c>
      <c r="C5" s="1" t="s">
        <v>180</v>
      </c>
      <c r="D5" s="17">
        <v>28045067.392000005</v>
      </c>
      <c r="E5" s="17">
        <v>27126319.527999993</v>
      </c>
      <c r="F5" s="17">
        <v>27503446.128000006</v>
      </c>
      <c r="G5" s="17">
        <v>26231290.927999992</v>
      </c>
      <c r="H5" s="17">
        <v>25726988.52</v>
      </c>
      <c r="I5" s="17">
        <f>(D5+E5+F5+G5)/4</f>
        <v>27226530.993999999</v>
      </c>
      <c r="J5" s="1">
        <f>((H5-I5)/I5)*100</f>
        <v>-5.507651615001774</v>
      </c>
      <c r="K5" s="1">
        <f>('2020a'!J5+'2021a'!J5)/2</f>
        <v>-5.0275884759442366</v>
      </c>
      <c r="L5" s="1">
        <f>J5-K5</f>
        <v>-0.48006313905753739</v>
      </c>
    </row>
    <row r="6" spans="1:12" ht="15.6" x14ac:dyDescent="0.3">
      <c r="A6" s="7"/>
      <c r="B6" s="1" t="s">
        <v>138</v>
      </c>
      <c r="C6" s="1" t="s">
        <v>181</v>
      </c>
      <c r="D6" s="17">
        <v>26099256.32799999</v>
      </c>
      <c r="E6" s="17">
        <v>23081675.072000004</v>
      </c>
      <c r="F6" s="1">
        <v>27802201.296000011</v>
      </c>
      <c r="G6" s="17">
        <v>26751322.592</v>
      </c>
      <c r="H6" s="17">
        <v>23595416.392000005</v>
      </c>
      <c r="I6" s="17">
        <f t="shared" ref="I6:I18" si="0">(D6+E6+F6+G6)/4</f>
        <v>25933613.822000004</v>
      </c>
      <c r="J6" s="1">
        <f t="shared" ref="J6:J18" si="1">((H6-I6)/I6)*100</f>
        <v>-9.016087946896393</v>
      </c>
      <c r="K6" s="1">
        <f>('2020a'!J6+'2021a'!J6)/2</f>
        <v>-2.9218149129070428</v>
      </c>
      <c r="L6" s="1">
        <f t="shared" ref="L6:L16" si="2">J6-K6</f>
        <v>-6.0942730339893503</v>
      </c>
    </row>
    <row r="7" spans="1:12" ht="15.6" x14ac:dyDescent="0.3">
      <c r="A7" s="2" t="s">
        <v>133</v>
      </c>
      <c r="B7" s="1" t="s">
        <v>139</v>
      </c>
      <c r="C7" s="1" t="s">
        <v>182</v>
      </c>
      <c r="D7" s="17">
        <v>27305490.992000006</v>
      </c>
      <c r="E7" s="17">
        <v>26657435.680000007</v>
      </c>
      <c r="F7" s="17">
        <v>26772535.872000009</v>
      </c>
      <c r="G7" s="17">
        <v>25895473.832000002</v>
      </c>
      <c r="H7" s="17">
        <v>23221913.432000011</v>
      </c>
      <c r="I7" s="17">
        <f t="shared" si="0"/>
        <v>26657734.094000008</v>
      </c>
      <c r="J7" s="1">
        <f t="shared" si="1"/>
        <v>-12.888644810863029</v>
      </c>
      <c r="K7" s="1">
        <f>('2020a'!J7+'2021a'!J7)/2</f>
        <v>-2.8993084404416773</v>
      </c>
      <c r="L7" s="1">
        <f t="shared" si="2"/>
        <v>-9.989336370421352</v>
      </c>
    </row>
    <row r="8" spans="1:12" ht="15.6" x14ac:dyDescent="0.3">
      <c r="A8" s="13"/>
      <c r="B8" s="1" t="s">
        <v>140</v>
      </c>
      <c r="C8" s="1" t="s">
        <v>183</v>
      </c>
      <c r="D8" s="17">
        <v>27279481.984000005</v>
      </c>
      <c r="E8" s="17">
        <v>27192132.776000008</v>
      </c>
      <c r="F8" s="17">
        <v>25449598.968000002</v>
      </c>
      <c r="G8" s="17">
        <v>25989618.224000007</v>
      </c>
      <c r="H8" s="17">
        <v>23994465.52</v>
      </c>
      <c r="I8" s="17">
        <f t="shared" si="0"/>
        <v>26477707.988000005</v>
      </c>
      <c r="J8" s="1">
        <f t="shared" si="1"/>
        <v>-9.3786156608624847</v>
      </c>
      <c r="K8" s="1">
        <f>('2020a'!J8+'2021a'!J8)/2</f>
        <v>2.1600627718717988</v>
      </c>
      <c r="L8" s="1">
        <f t="shared" si="2"/>
        <v>-11.538678432734283</v>
      </c>
    </row>
    <row r="9" spans="1:12" ht="15.6" x14ac:dyDescent="0.3">
      <c r="A9" s="13"/>
      <c r="B9" s="1" t="s">
        <v>141</v>
      </c>
      <c r="C9" s="1" t="s">
        <v>184</v>
      </c>
      <c r="D9" s="17">
        <v>27869895.864000008</v>
      </c>
      <c r="E9" s="17">
        <v>28150673.688000005</v>
      </c>
      <c r="F9" s="17">
        <v>27342434.944000002</v>
      </c>
      <c r="G9" s="17">
        <v>26449760.656000003</v>
      </c>
      <c r="H9" s="17">
        <v>24348237.368000001</v>
      </c>
      <c r="I9" s="17">
        <f t="shared" si="0"/>
        <v>27453191.288000006</v>
      </c>
      <c r="J9" s="1">
        <f t="shared" si="1"/>
        <v>-11.309992661425865</v>
      </c>
      <c r="K9" s="1">
        <f>('2020a'!J9+'2021a'!J9)/2</f>
        <v>-1.1224703955496151</v>
      </c>
      <c r="L9" s="1">
        <f t="shared" si="2"/>
        <v>-10.18752226587625</v>
      </c>
    </row>
    <row r="10" spans="1:12" ht="15.6" x14ac:dyDescent="0.3">
      <c r="A10" s="13"/>
      <c r="B10" s="1" t="s">
        <v>142</v>
      </c>
      <c r="C10" s="1" t="s">
        <v>185</v>
      </c>
      <c r="D10" s="17">
        <v>27198992.495999999</v>
      </c>
      <c r="E10" s="17">
        <v>25907784.695999999</v>
      </c>
      <c r="F10" s="17">
        <v>23350518.232000008</v>
      </c>
      <c r="G10" s="17">
        <v>22160099.623999998</v>
      </c>
      <c r="H10" s="17">
        <v>23370764.111999996</v>
      </c>
      <c r="I10" s="17">
        <f t="shared" si="0"/>
        <v>24654348.762000002</v>
      </c>
      <c r="J10" s="1">
        <f t="shared" si="1"/>
        <v>-5.2063214582995112</v>
      </c>
      <c r="K10" s="1">
        <f>('2020a'!J10+'2021a'!J10)/2</f>
        <v>-0.60108463435064086</v>
      </c>
      <c r="L10" s="1">
        <f t="shared" si="2"/>
        <v>-4.6052368239488706</v>
      </c>
    </row>
    <row r="11" spans="1:12" ht="15.6" x14ac:dyDescent="0.3">
      <c r="A11" s="13"/>
      <c r="B11" s="1" t="s">
        <v>143</v>
      </c>
      <c r="C11" s="1" t="s">
        <v>186</v>
      </c>
      <c r="D11" s="17">
        <v>25328500.392000001</v>
      </c>
      <c r="E11" s="17">
        <v>27064560.776000001</v>
      </c>
      <c r="F11" s="17">
        <v>23719376.199999999</v>
      </c>
      <c r="G11" s="17">
        <v>22816454.335999999</v>
      </c>
      <c r="H11" s="17">
        <v>21973444.831999995</v>
      </c>
      <c r="I11" s="17">
        <f t="shared" si="0"/>
        <v>24732222.925999999</v>
      </c>
      <c r="J11" s="1">
        <f t="shared" si="1"/>
        <v>-11.154590116118559</v>
      </c>
      <c r="K11" s="1">
        <f>('2020a'!J11+'2021a'!J11)/2</f>
        <v>-1.2645583926485247</v>
      </c>
      <c r="L11" s="1">
        <f t="shared" si="2"/>
        <v>-9.8900317234700346</v>
      </c>
    </row>
    <row r="12" spans="1:12" ht="15.6" x14ac:dyDescent="0.3">
      <c r="A12" s="13"/>
      <c r="B12" s="1" t="s">
        <v>144</v>
      </c>
      <c r="C12" s="1" t="s">
        <v>187</v>
      </c>
      <c r="D12" s="17">
        <v>27064560.776000001</v>
      </c>
      <c r="E12" s="17">
        <v>23719376.199999999</v>
      </c>
      <c r="F12" s="17">
        <v>22816454.335999999</v>
      </c>
      <c r="G12" s="17">
        <v>21973444.831999995</v>
      </c>
      <c r="H12" s="17">
        <v>22778253.584000006</v>
      </c>
      <c r="I12" s="17">
        <f t="shared" si="0"/>
        <v>23893459.035999998</v>
      </c>
      <c r="J12" s="1">
        <f t="shared" si="1"/>
        <v>-4.6674089771586651</v>
      </c>
      <c r="K12" s="1">
        <f>('2020a'!J12+'2021a'!J12)/2</f>
        <v>-0.99176955872657335</v>
      </c>
      <c r="L12" s="1">
        <f t="shared" si="2"/>
        <v>-3.675639418432092</v>
      </c>
    </row>
    <row r="13" spans="1:12" ht="15.6" x14ac:dyDescent="0.3">
      <c r="A13" s="2" t="s">
        <v>134</v>
      </c>
      <c r="B13" s="1" t="s">
        <v>145</v>
      </c>
      <c r="C13" s="1" t="s">
        <v>188</v>
      </c>
      <c r="D13" s="17">
        <v>27745161.816000007</v>
      </c>
      <c r="E13" s="17">
        <v>27788987</v>
      </c>
      <c r="F13" s="17">
        <v>28655135.984000005</v>
      </c>
      <c r="G13" s="17">
        <v>28339704.568000004</v>
      </c>
      <c r="H13" s="17">
        <v>24624619.496000011</v>
      </c>
      <c r="I13" s="17">
        <f t="shared" si="0"/>
        <v>28132247.342000004</v>
      </c>
      <c r="J13" s="1">
        <f t="shared" si="1"/>
        <v>-12.468352788734673</v>
      </c>
      <c r="K13" s="1">
        <f>('2020a'!J13+'2021a'!J13)/2</f>
        <v>-5.9250793807005184</v>
      </c>
      <c r="L13" s="1">
        <f t="shared" si="2"/>
        <v>-6.543273408034155</v>
      </c>
    </row>
    <row r="14" spans="1:12" ht="15.6" x14ac:dyDescent="0.3">
      <c r="A14" s="13"/>
      <c r="B14" s="1" t="s">
        <v>146</v>
      </c>
      <c r="C14" s="1" t="s">
        <v>189</v>
      </c>
      <c r="D14" s="17">
        <v>23930341.216000002</v>
      </c>
      <c r="E14" s="17">
        <v>28243785.856000014</v>
      </c>
      <c r="F14" s="17">
        <v>28868950.351999998</v>
      </c>
      <c r="G14" s="17">
        <v>29910077.344000012</v>
      </c>
      <c r="H14" s="17">
        <v>24654370.176000006</v>
      </c>
      <c r="I14" s="17">
        <f t="shared" si="0"/>
        <v>27738288.692000005</v>
      </c>
      <c r="J14" s="1">
        <f t="shared" si="1"/>
        <v>-11.117911960046154</v>
      </c>
      <c r="K14" s="1">
        <f>('2020a'!J14+'2021a'!J14)/2</f>
        <v>-4.2910147615847043</v>
      </c>
      <c r="L14" s="1">
        <f t="shared" si="2"/>
        <v>-6.8268971984614497</v>
      </c>
    </row>
    <row r="15" spans="1:12" ht="15.6" x14ac:dyDescent="0.3">
      <c r="A15" s="13"/>
      <c r="B15" s="1" t="s">
        <v>147</v>
      </c>
      <c r="C15" s="1" t="s">
        <v>190</v>
      </c>
      <c r="D15" s="17">
        <v>31059369.456000004</v>
      </c>
      <c r="E15" s="17">
        <v>30082947.912</v>
      </c>
      <c r="F15" s="17">
        <v>26653779.968000002</v>
      </c>
      <c r="G15" s="17">
        <v>25353529.848000005</v>
      </c>
      <c r="H15" s="17">
        <v>25043529.879999999</v>
      </c>
      <c r="I15" s="17">
        <f t="shared" si="0"/>
        <v>28287406.796</v>
      </c>
      <c r="J15" s="1">
        <f t="shared" si="1"/>
        <v>-11.467565547431883</v>
      </c>
      <c r="K15" s="1">
        <f>('2020a'!J15+'2021a'!J15)/2</f>
        <v>-7.4397388570895107</v>
      </c>
      <c r="L15" s="1">
        <f t="shared" si="2"/>
        <v>-4.0278266903423727</v>
      </c>
    </row>
    <row r="16" spans="1:12" ht="15.6" x14ac:dyDescent="0.3">
      <c r="A16" s="2" t="s">
        <v>135</v>
      </c>
      <c r="B16" s="21" t="s">
        <v>148</v>
      </c>
      <c r="C16" s="1" t="s">
        <v>191</v>
      </c>
      <c r="D16" s="17">
        <v>22160099.623999998</v>
      </c>
      <c r="E16" s="17">
        <v>23370764.111999996</v>
      </c>
      <c r="F16" s="17">
        <v>27994016.912000008</v>
      </c>
      <c r="G16" s="17">
        <v>28188987</v>
      </c>
      <c r="H16" s="17">
        <v>27298992.328000002</v>
      </c>
      <c r="I16" s="17">
        <f t="shared" si="0"/>
        <v>25428466.912</v>
      </c>
      <c r="J16" s="1">
        <f t="shared" si="1"/>
        <v>7.3560290617334765</v>
      </c>
      <c r="K16" s="1">
        <f>('2020a'!J16+'2021a'!J16)/2</f>
        <v>-6.2909239125548488</v>
      </c>
      <c r="L16" s="1">
        <f t="shared" si="2"/>
        <v>13.646952974288325</v>
      </c>
    </row>
    <row r="17" spans="1:12" ht="15.6" x14ac:dyDescent="0.3">
      <c r="A17" s="13" t="s">
        <v>136</v>
      </c>
      <c r="B17" s="21" t="s">
        <v>149</v>
      </c>
      <c r="C17" s="1" t="s">
        <v>192</v>
      </c>
      <c r="D17" s="17">
        <v>27935762.631999992</v>
      </c>
      <c r="E17" s="17">
        <v>26960717.368000001</v>
      </c>
      <c r="F17" s="17">
        <v>24599416.68</v>
      </c>
      <c r="G17" s="17">
        <v>29899690.84</v>
      </c>
      <c r="H17" s="17">
        <v>25825940.600000001</v>
      </c>
      <c r="I17" s="17">
        <f t="shared" si="0"/>
        <v>27348896.879999999</v>
      </c>
      <c r="J17" s="1">
        <f t="shared" si="1"/>
        <v>-5.5686205066417926</v>
      </c>
      <c r="K17" s="1">
        <f>('2020a'!J17+'2021a'!J17)/2</f>
        <v>-15.069721831234141</v>
      </c>
      <c r="L17" s="1">
        <f>J17-K17</f>
        <v>9.5011013245923479</v>
      </c>
    </row>
    <row r="18" spans="1:12" ht="15.6" x14ac:dyDescent="0.3">
      <c r="A18" s="13"/>
      <c r="B18" s="22" t="s">
        <v>150</v>
      </c>
      <c r="C18" s="1" t="s">
        <v>193</v>
      </c>
      <c r="D18" s="17">
        <v>27872745.096000001</v>
      </c>
      <c r="E18" s="17">
        <v>26727183.895999998</v>
      </c>
      <c r="F18" s="17">
        <v>26021100.136</v>
      </c>
      <c r="G18" s="17">
        <v>21420103.831999995</v>
      </c>
      <c r="H18" s="17">
        <v>23610307.936000004</v>
      </c>
      <c r="I18" s="17">
        <f t="shared" si="0"/>
        <v>25510283.239999995</v>
      </c>
      <c r="J18" s="1">
        <f t="shared" si="1"/>
        <v>-7.4478800808484884</v>
      </c>
      <c r="K18" s="1">
        <f>('2020a'!J18+'2021a'!J18)/2</f>
        <v>-0.46946094638693459</v>
      </c>
      <c r="L18" s="1">
        <f>J18-K18</f>
        <v>-6.9784191344615536</v>
      </c>
    </row>
    <row r="19" spans="1:12" ht="15.6" x14ac:dyDescent="0.3">
      <c r="A19" s="7"/>
      <c r="B19" s="2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5">
    <mergeCell ref="D3:H3"/>
    <mergeCell ref="I3:I4"/>
    <mergeCell ref="J3:J4"/>
    <mergeCell ref="K3:K4"/>
    <mergeCell ref="L3:L4"/>
  </mergeCell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X173"/>
  <sheetViews>
    <sheetView topLeftCell="A87" zoomScale="70" zoomScaleNormal="70" workbookViewId="0">
      <selection activeCell="I157" sqref="I157:I158"/>
    </sheetView>
  </sheetViews>
  <sheetFormatPr defaultRowHeight="14.4" x14ac:dyDescent="0.3"/>
  <cols>
    <col min="1" max="1" width="26.44140625" customWidth="1"/>
    <col min="2" max="2" width="31.44140625" customWidth="1"/>
    <col min="3" max="3" width="22.109375" customWidth="1"/>
    <col min="4" max="4" width="15" customWidth="1"/>
    <col min="5" max="5" width="17.33203125" customWidth="1"/>
    <col min="6" max="6" width="15.44140625" customWidth="1"/>
    <col min="7" max="8" width="15.88671875" customWidth="1"/>
    <col min="9" max="9" width="17.88671875" customWidth="1"/>
    <col min="10" max="10" width="16.33203125" customWidth="1"/>
    <col min="11" max="11" width="14.77734375" customWidth="1"/>
    <col min="13" max="13" width="14.33203125" customWidth="1"/>
    <col min="14" max="14" width="12.88671875" customWidth="1"/>
    <col min="15" max="15" width="16.109375" customWidth="1"/>
    <col min="16" max="16" width="17.33203125" customWidth="1"/>
    <col min="17" max="17" width="11.5546875" customWidth="1"/>
    <col min="18" max="18" width="13.33203125" customWidth="1"/>
    <col min="19" max="19" width="13.6640625" customWidth="1"/>
    <col min="20" max="20" width="15.5546875" customWidth="1"/>
    <col min="21" max="21" width="14.6640625" customWidth="1"/>
    <col min="22" max="22" width="15.109375" customWidth="1"/>
    <col min="23" max="23" width="14" customWidth="1"/>
  </cols>
  <sheetData>
    <row r="1" spans="1:22" x14ac:dyDescent="0.3">
      <c r="A1" s="18" t="s">
        <v>194</v>
      </c>
    </row>
    <row r="2" spans="1:22" x14ac:dyDescent="0.3">
      <c r="A2" s="18"/>
    </row>
    <row r="3" spans="1:22" x14ac:dyDescent="0.3">
      <c r="A3" s="28" t="s">
        <v>195</v>
      </c>
    </row>
    <row r="4" spans="1:22" ht="15.6" x14ac:dyDescent="0.3">
      <c r="A4" s="2" t="s">
        <v>123</v>
      </c>
      <c r="B4" s="2" t="s">
        <v>124</v>
      </c>
      <c r="C4" s="3" t="s">
        <v>125</v>
      </c>
      <c r="D4" s="107" t="s">
        <v>126</v>
      </c>
      <c r="E4" s="108"/>
      <c r="F4" s="108"/>
      <c r="G4" s="108"/>
      <c r="H4" s="108"/>
      <c r="I4" s="109" t="s">
        <v>25</v>
      </c>
      <c r="J4" s="109" t="s">
        <v>26</v>
      </c>
      <c r="K4" s="109" t="s">
        <v>28</v>
      </c>
      <c r="L4" s="109" t="s">
        <v>27</v>
      </c>
      <c r="M4" s="5" t="s">
        <v>0</v>
      </c>
      <c r="N4" s="4" t="s">
        <v>2</v>
      </c>
      <c r="O4" s="19" t="s">
        <v>3</v>
      </c>
      <c r="P4" s="6" t="s">
        <v>4</v>
      </c>
      <c r="Q4" s="5" t="s">
        <v>5</v>
      </c>
      <c r="R4" s="35"/>
      <c r="V4" t="s">
        <v>5</v>
      </c>
    </row>
    <row r="5" spans="1:22" ht="15.6" x14ac:dyDescent="0.3">
      <c r="A5" s="7"/>
      <c r="B5" s="7"/>
      <c r="C5" s="8"/>
      <c r="D5" s="9" t="s">
        <v>127</v>
      </c>
      <c r="E5" s="9" t="s">
        <v>128</v>
      </c>
      <c r="F5" s="9" t="s">
        <v>129</v>
      </c>
      <c r="G5" s="9" t="s">
        <v>130</v>
      </c>
      <c r="H5" s="9" t="s">
        <v>131</v>
      </c>
      <c r="I5" s="110"/>
      <c r="J5" s="110"/>
      <c r="K5" s="110"/>
      <c r="L5" s="110"/>
      <c r="M5" s="10" t="s">
        <v>1</v>
      </c>
      <c r="N5" s="11" t="s">
        <v>26</v>
      </c>
      <c r="O5" s="20" t="s">
        <v>51</v>
      </c>
      <c r="P5" s="12" t="s">
        <v>52</v>
      </c>
      <c r="Q5" s="10" t="s">
        <v>6</v>
      </c>
      <c r="V5" s="1"/>
    </row>
    <row r="6" spans="1:22" ht="15.6" x14ac:dyDescent="0.3">
      <c r="A6" s="2" t="s">
        <v>132</v>
      </c>
      <c r="B6" s="1" t="s">
        <v>137</v>
      </c>
      <c r="C6" s="1" t="s">
        <v>196</v>
      </c>
      <c r="D6" s="17">
        <v>24649306.023999996</v>
      </c>
      <c r="E6" s="17">
        <v>26388463.711999997</v>
      </c>
      <c r="F6" s="17">
        <v>25474317.656000007</v>
      </c>
      <c r="G6" s="17">
        <v>25889710.648000002</v>
      </c>
      <c r="H6" s="17">
        <v>21383235.272000007</v>
      </c>
      <c r="I6" s="1">
        <f>(D6+E6+F6+G6)/4</f>
        <v>25600449.510000002</v>
      </c>
      <c r="J6" s="1">
        <f>((H6-I6)/I6)*100</f>
        <v>-16.473203864458213</v>
      </c>
      <c r="K6" s="1">
        <f>('2020a'!J5+'2021a'!J5+'2022a'!J5)/3</f>
        <v>-5.1876095222967491</v>
      </c>
      <c r="L6" s="1">
        <f>J6-K6</f>
        <v>-11.285594342161463</v>
      </c>
      <c r="M6" s="32">
        <v>-12</v>
      </c>
      <c r="N6" s="1">
        <f>M6+K6</f>
        <v>-17.18760952229675</v>
      </c>
      <c r="O6" s="1">
        <f>I6+((N6*I6)/100)</f>
        <v>21200344.212268472</v>
      </c>
      <c r="P6" s="17">
        <f>H6</f>
        <v>21383235.272000007</v>
      </c>
      <c r="Q6" s="1">
        <f>-((O6-H6)/H6)*100</f>
        <v>0.8553011618920916</v>
      </c>
      <c r="V6" s="47">
        <f>(O6-P6)</f>
        <v>-182891.05973153561</v>
      </c>
    </row>
    <row r="7" spans="1:22" ht="15.6" x14ac:dyDescent="0.3">
      <c r="A7" s="7"/>
      <c r="B7" s="1" t="s">
        <v>138</v>
      </c>
      <c r="C7" s="1" t="s">
        <v>197</v>
      </c>
      <c r="D7" s="17">
        <v>20767779.824000008</v>
      </c>
      <c r="E7" s="17">
        <v>29123880.240000013</v>
      </c>
      <c r="F7" s="17">
        <v>29726540.503999997</v>
      </c>
      <c r="G7" s="17">
        <v>29297503.66399999</v>
      </c>
      <c r="H7" s="17">
        <v>23369011.471999992</v>
      </c>
      <c r="I7" s="1">
        <f t="shared" ref="I7:I19" si="0">(D7+E7+F7+G7)/4</f>
        <v>27228926.058000002</v>
      </c>
      <c r="J7" s="1">
        <f>((H7-I7)/I7)*100</f>
        <v>-14.175787094129433</v>
      </c>
      <c r="K7" s="1">
        <f>('2020a'!J6+'2021a'!J6+'2022a'!J6)/3</f>
        <v>-4.9532392575701598</v>
      </c>
      <c r="L7" s="1">
        <f t="shared" ref="L7:L19" si="1">J7-K7</f>
        <v>-9.2225478365592721</v>
      </c>
      <c r="M7" s="78">
        <v>-4.7676999999999996</v>
      </c>
      <c r="N7" s="1">
        <f t="shared" ref="N7:N19" si="2">M7+K7</f>
        <v>-9.7209392575701585</v>
      </c>
      <c r="O7" s="1">
        <f t="shared" ref="O7:O19" si="3">I7+((N7*I7)/100)</f>
        <v>24582018.695413128</v>
      </c>
      <c r="P7" s="17">
        <f t="shared" ref="P7:P19" si="4">H7</f>
        <v>23369011.471999992</v>
      </c>
      <c r="Q7" s="1">
        <f>((O7-H7)/H7)*100</f>
        <v>5.1906655310025531</v>
      </c>
      <c r="V7" s="47">
        <f t="shared" ref="V7:V19" si="5">(O7-P7)</f>
        <v>1213007.2234131359</v>
      </c>
    </row>
    <row r="8" spans="1:22" ht="15.6" x14ac:dyDescent="0.3">
      <c r="A8" s="2" t="s">
        <v>133</v>
      </c>
      <c r="B8" s="1" t="s">
        <v>139</v>
      </c>
      <c r="C8" s="1" t="s">
        <v>198</v>
      </c>
      <c r="D8" s="17">
        <v>22208042.696000002</v>
      </c>
      <c r="E8" s="17">
        <v>28933956.82399999</v>
      </c>
      <c r="F8" s="17">
        <v>29751614.272000015</v>
      </c>
      <c r="G8" s="17">
        <v>22312681.199999999</v>
      </c>
      <c r="H8" s="17">
        <v>20658324.559999991</v>
      </c>
      <c r="I8" s="1">
        <f t="shared" si="0"/>
        <v>25801573.748000003</v>
      </c>
      <c r="J8" s="1">
        <f t="shared" ref="J8:J19" si="6">((H8-I8)/I8)*100</f>
        <v>-19.933858446904576</v>
      </c>
      <c r="K8" s="1">
        <f>('2020a'!J7+'2021a'!J7+'2022a'!J7)/3</f>
        <v>-6.2290872305821283</v>
      </c>
      <c r="L8" s="1">
        <f t="shared" si="1"/>
        <v>-13.704771216322449</v>
      </c>
      <c r="M8" s="32">
        <v>0</v>
      </c>
      <c r="N8" s="1">
        <f t="shared" si="2"/>
        <v>-6.2290872305821283</v>
      </c>
      <c r="O8" s="1">
        <f t="shared" si="3"/>
        <v>24194371.212374106</v>
      </c>
      <c r="P8" s="17">
        <f t="shared" si="4"/>
        <v>20658324.559999991</v>
      </c>
      <c r="Q8" s="1">
        <f>((O8-H8)/H8)*100</f>
        <v>17.116812363481021</v>
      </c>
      <c r="V8" s="47">
        <f t="shared" si="5"/>
        <v>3536046.6523741148</v>
      </c>
    </row>
    <row r="9" spans="1:22" ht="15.6" x14ac:dyDescent="0.3">
      <c r="A9" s="13"/>
      <c r="B9" s="1" t="s">
        <v>140</v>
      </c>
      <c r="C9" s="1" t="s">
        <v>199</v>
      </c>
      <c r="D9" s="17">
        <v>27025283.271999992</v>
      </c>
      <c r="E9" s="17">
        <v>21083587.744000003</v>
      </c>
      <c r="F9" s="17">
        <v>28915431.056000009</v>
      </c>
      <c r="G9" s="17">
        <v>29089796.352000002</v>
      </c>
      <c r="H9" s="17">
        <v>23414288.264000002</v>
      </c>
      <c r="I9" s="1">
        <f t="shared" si="0"/>
        <v>26528524.605999999</v>
      </c>
      <c r="J9" s="1">
        <f t="shared" si="6"/>
        <v>-11.739199176179005</v>
      </c>
      <c r="K9" s="1">
        <f>('2020a'!J8+'2021a'!J8+'2022a'!J8)/3</f>
        <v>-1.6861633723729623</v>
      </c>
      <c r="L9" s="1">
        <f t="shared" si="1"/>
        <v>-10.053035803806043</v>
      </c>
      <c r="M9" s="32">
        <v>-9</v>
      </c>
      <c r="N9" s="1">
        <f t="shared" si="2"/>
        <v>-10.686163372372963</v>
      </c>
      <c r="O9" s="1">
        <f t="shared" si="3"/>
        <v>23693643.126322679</v>
      </c>
      <c r="P9" s="17">
        <f t="shared" si="4"/>
        <v>23414288.264000002</v>
      </c>
      <c r="Q9" s="1">
        <f>((O9-H9)/H9)*100</f>
        <v>1.193095682315449</v>
      </c>
      <c r="V9" s="47">
        <f t="shared" si="5"/>
        <v>279354.86232267693</v>
      </c>
    </row>
    <row r="10" spans="1:22" ht="15.6" x14ac:dyDescent="0.3">
      <c r="A10" s="13"/>
      <c r="B10" s="1" t="s">
        <v>141</v>
      </c>
      <c r="C10" s="1" t="s">
        <v>200</v>
      </c>
      <c r="D10" s="17">
        <v>23272361.783999994</v>
      </c>
      <c r="E10" s="17">
        <v>30686317.911999989</v>
      </c>
      <c r="F10" s="17">
        <v>29710821.192000005</v>
      </c>
      <c r="G10" s="17">
        <v>29906453.991999999</v>
      </c>
      <c r="H10" s="17">
        <v>23798220.599999998</v>
      </c>
      <c r="I10" s="1">
        <f t="shared" si="0"/>
        <v>28393988.719999995</v>
      </c>
      <c r="J10" s="1">
        <f t="shared" si="6"/>
        <v>-16.18570805715245</v>
      </c>
      <c r="K10" s="1">
        <f>('2020a'!J9+'2021a'!J9+'2022a'!J9)/3</f>
        <v>-4.518311150841698</v>
      </c>
      <c r="L10" s="1">
        <f t="shared" si="1"/>
        <v>-11.667396906310753</v>
      </c>
      <c r="M10" s="32">
        <v>-9</v>
      </c>
      <c r="N10" s="1">
        <f t="shared" si="2"/>
        <v>-13.518311150841697</v>
      </c>
      <c r="O10" s="1">
        <f t="shared" si="3"/>
        <v>24555600.9766955</v>
      </c>
      <c r="P10" s="17">
        <f t="shared" si="4"/>
        <v>23798220.599999998</v>
      </c>
      <c r="Q10" s="1">
        <f>((O10-H10)/H10)*100</f>
        <v>3.1825084296239465</v>
      </c>
      <c r="V10" s="47">
        <f t="shared" si="5"/>
        <v>757380.37669550255</v>
      </c>
    </row>
    <row r="11" spans="1:22" ht="15.6" x14ac:dyDescent="0.3">
      <c r="A11" s="13"/>
      <c r="B11" s="1" t="s">
        <v>142</v>
      </c>
      <c r="C11" s="1" t="s">
        <v>201</v>
      </c>
      <c r="D11" s="17">
        <v>27210185.296000004</v>
      </c>
      <c r="E11" s="17">
        <v>27031164.551999997</v>
      </c>
      <c r="F11" s="17">
        <v>27719443.167999998</v>
      </c>
      <c r="G11" s="17">
        <v>27294018.752000004</v>
      </c>
      <c r="H11" s="17">
        <v>25703679.503999997</v>
      </c>
      <c r="I11" s="1">
        <f t="shared" si="0"/>
        <v>27313702.942000002</v>
      </c>
      <c r="J11" s="1">
        <f t="shared" si="6"/>
        <v>-5.894563038262703</v>
      </c>
      <c r="K11" s="1">
        <f>('2020a'!J10+'2021a'!J10+'2022a'!J10)/3</f>
        <v>-2.1361635756669308</v>
      </c>
      <c r="L11" s="1">
        <f t="shared" si="1"/>
        <v>-3.7583994625957722</v>
      </c>
      <c r="M11" s="32">
        <v>-4.5</v>
      </c>
      <c r="N11" s="1">
        <f t="shared" si="2"/>
        <v>-6.6361635756669308</v>
      </c>
      <c r="O11" s="1">
        <f t="shared" si="3"/>
        <v>25501120.936197132</v>
      </c>
      <c r="P11" s="17">
        <f t="shared" si="4"/>
        <v>25703679.503999997</v>
      </c>
      <c r="Q11" s="1">
        <f>((O11-H11)/H11)*100*-1</f>
        <v>0.78805280688059842</v>
      </c>
      <c r="V11" s="47">
        <f t="shared" si="5"/>
        <v>-202558.56780286506</v>
      </c>
    </row>
    <row r="12" spans="1:22" ht="15.6" x14ac:dyDescent="0.3">
      <c r="A12" s="13"/>
      <c r="B12" s="1" t="s">
        <v>143</v>
      </c>
      <c r="C12" s="1" t="s">
        <v>202</v>
      </c>
      <c r="D12" s="17">
        <v>28152490.67200001</v>
      </c>
      <c r="E12" s="17">
        <v>24068160.223999988</v>
      </c>
      <c r="F12" s="17">
        <v>21402954.399999991</v>
      </c>
      <c r="G12" s="17">
        <v>19347440.591999996</v>
      </c>
      <c r="H12" s="17">
        <v>18556039.552000005</v>
      </c>
      <c r="I12" s="1">
        <f t="shared" si="0"/>
        <v>23242761.471999995</v>
      </c>
      <c r="J12" s="1">
        <f t="shared" si="6"/>
        <v>-20.164221560531754</v>
      </c>
      <c r="K12" s="1">
        <f>('2020a'!J11+'2021a'!J11+'2022a'!J11)/3</f>
        <v>-4.5612356338052029</v>
      </c>
      <c r="L12" s="1">
        <f t="shared" si="1"/>
        <v>-15.60298592672655</v>
      </c>
      <c r="M12" s="32">
        <v>-6</v>
      </c>
      <c r="N12" s="1">
        <f t="shared" si="2"/>
        <v>-10.561235633805204</v>
      </c>
      <c r="O12" s="1">
        <f t="shared" si="3"/>
        <v>20788038.665138785</v>
      </c>
      <c r="P12" s="17">
        <f t="shared" si="4"/>
        <v>18556039.552000005</v>
      </c>
      <c r="Q12" s="1">
        <f t="shared" ref="Q12:Q19" si="7">((O12-H12)/H12)*100</f>
        <v>12.028423990388676</v>
      </c>
      <c r="T12" t="s">
        <v>61</v>
      </c>
      <c r="V12" s="47">
        <f t="shared" si="5"/>
        <v>2231999.11313878</v>
      </c>
    </row>
    <row r="13" spans="1:22" ht="15.6" x14ac:dyDescent="0.3">
      <c r="A13" s="13"/>
      <c r="B13" s="1" t="s">
        <v>144</v>
      </c>
      <c r="C13" s="1" t="s">
        <v>203</v>
      </c>
      <c r="D13" s="17">
        <v>24068160.223999988</v>
      </c>
      <c r="E13" s="17">
        <v>21402954.399999991</v>
      </c>
      <c r="F13" s="17">
        <v>19347440.591999996</v>
      </c>
      <c r="G13" s="17">
        <v>18556039.552000005</v>
      </c>
      <c r="H13" s="17">
        <v>20061147.615999997</v>
      </c>
      <c r="I13" s="1">
        <f t="shared" si="0"/>
        <v>20843648.691999994</v>
      </c>
      <c r="J13" s="1">
        <f t="shared" si="6"/>
        <v>-3.7541463472291654</v>
      </c>
      <c r="K13" s="1">
        <f>('2020a'!J12+'2021a'!J12+'2022a'!J12)/3</f>
        <v>-2.2169826982039371</v>
      </c>
      <c r="L13" s="1">
        <f t="shared" si="1"/>
        <v>-1.5371636490252283</v>
      </c>
      <c r="M13" s="32">
        <v>0</v>
      </c>
      <c r="N13" s="1">
        <f t="shared" si="2"/>
        <v>-2.2169826982039371</v>
      </c>
      <c r="O13" s="1">
        <f t="shared" si="3"/>
        <v>20381548.606823944</v>
      </c>
      <c r="P13" s="17">
        <f t="shared" si="4"/>
        <v>20061147.615999997</v>
      </c>
      <c r="Q13" s="1">
        <f t="shared" si="7"/>
        <v>1.5971219441524247</v>
      </c>
      <c r="T13" t="s">
        <v>62</v>
      </c>
      <c r="V13" s="47">
        <f t="shared" si="5"/>
        <v>320400.99082394689</v>
      </c>
    </row>
    <row r="14" spans="1:22" ht="15.6" x14ac:dyDescent="0.3">
      <c r="A14" s="2" t="s">
        <v>134</v>
      </c>
      <c r="B14" s="1" t="s">
        <v>145</v>
      </c>
      <c r="C14" s="1" t="s">
        <v>204</v>
      </c>
      <c r="D14" s="17">
        <v>26929203.224000007</v>
      </c>
      <c r="E14" s="17">
        <v>26205002.327999994</v>
      </c>
      <c r="F14" s="17">
        <v>27649232.464000002</v>
      </c>
      <c r="G14" s="17">
        <v>28487017.607999995</v>
      </c>
      <c r="H14" s="17">
        <v>22518592.687999986</v>
      </c>
      <c r="I14" s="1">
        <f t="shared" si="0"/>
        <v>27317613.905999999</v>
      </c>
      <c r="J14" s="1">
        <f t="shared" si="6"/>
        <v>-17.567497785544013</v>
      </c>
      <c r="K14" s="1">
        <f>('2020a'!J13+'2021a'!J13+'2022a'!J13)/3</f>
        <v>-8.106170516711904</v>
      </c>
      <c r="L14" s="1">
        <f t="shared" si="1"/>
        <v>-9.4613272688321093</v>
      </c>
      <c r="M14" s="32">
        <v>-4.5</v>
      </c>
      <c r="N14" s="1">
        <f t="shared" si="2"/>
        <v>-12.606170516711904</v>
      </c>
      <c r="O14" s="1">
        <f t="shared" si="3"/>
        <v>23873908.915912636</v>
      </c>
      <c r="P14" s="17">
        <f t="shared" si="4"/>
        <v>22518592.687999986</v>
      </c>
      <c r="Q14" s="1">
        <f t="shared" si="7"/>
        <v>6.0186542147231465</v>
      </c>
      <c r="V14" s="47">
        <f t="shared" si="5"/>
        <v>1355316.2279126495</v>
      </c>
    </row>
    <row r="15" spans="1:22" ht="15.6" x14ac:dyDescent="0.3">
      <c r="A15" s="13"/>
      <c r="B15" s="1" t="s">
        <v>146</v>
      </c>
      <c r="C15" s="1" t="s">
        <v>205</v>
      </c>
      <c r="D15" s="17">
        <v>23185442.671999995</v>
      </c>
      <c r="E15" s="17">
        <v>30488212.287999984</v>
      </c>
      <c r="F15" s="17">
        <v>31284871.175999995</v>
      </c>
      <c r="G15" s="17">
        <v>30880025.823999994</v>
      </c>
      <c r="H15" s="17">
        <v>25094944.103999987</v>
      </c>
      <c r="I15" s="1">
        <f t="shared" si="0"/>
        <v>28959637.989999995</v>
      </c>
      <c r="J15" s="1">
        <f t="shared" si="6"/>
        <v>-13.345104270068978</v>
      </c>
      <c r="K15" s="1">
        <f>('2020a'!J14+'2021a'!J14+'2022a'!J14)/3</f>
        <v>-6.5666471610718533</v>
      </c>
      <c r="L15" s="1">
        <f t="shared" si="1"/>
        <v>-6.7784571089971246</v>
      </c>
      <c r="M15" s="32">
        <v>-5.00054</v>
      </c>
      <c r="N15" s="1">
        <f t="shared" si="2"/>
        <v>-11.567187161071853</v>
      </c>
      <c r="O15" s="1">
        <f t="shared" si="3"/>
        <v>25609822.462527826</v>
      </c>
      <c r="P15" s="17">
        <f t="shared" si="4"/>
        <v>25094944.103999987</v>
      </c>
      <c r="Q15" s="1">
        <f t="shared" si="7"/>
        <v>2.0517214798090366</v>
      </c>
      <c r="V15" s="47">
        <f t="shared" si="5"/>
        <v>514878.35852783918</v>
      </c>
    </row>
    <row r="16" spans="1:22" ht="15.6" x14ac:dyDescent="0.3">
      <c r="A16" s="13"/>
      <c r="B16" s="1" t="s">
        <v>147</v>
      </c>
      <c r="C16" s="1" t="s">
        <v>175</v>
      </c>
      <c r="D16" s="17">
        <v>33735338.095999993</v>
      </c>
      <c r="E16" s="17">
        <v>32642074.944000002</v>
      </c>
      <c r="F16" s="17">
        <v>31107022.223999999</v>
      </c>
      <c r="G16" s="17">
        <v>22935017.631999999</v>
      </c>
      <c r="H16" s="17">
        <v>23465166.680000011</v>
      </c>
      <c r="I16" s="1">
        <f t="shared" si="0"/>
        <v>30104863.223999999</v>
      </c>
      <c r="J16" s="1">
        <f t="shared" si="6"/>
        <v>-22.055229065803342</v>
      </c>
      <c r="K16" s="1">
        <f>('2020a'!J15+'2021a'!J15+'2022a'!J15)/3</f>
        <v>-8.7823477538703028</v>
      </c>
      <c r="L16" s="1">
        <f t="shared" si="1"/>
        <v>-13.272881311933039</v>
      </c>
      <c r="M16" s="32">
        <v>-4.5</v>
      </c>
      <c r="N16" s="1">
        <f t="shared" si="2"/>
        <v>-13.282347753870303</v>
      </c>
      <c r="O16" s="1">
        <f t="shared" si="3"/>
        <v>26106230.599761307</v>
      </c>
      <c r="P16" s="17">
        <f t="shared" si="4"/>
        <v>23465166.680000011</v>
      </c>
      <c r="Q16" s="1">
        <f t="shared" si="7"/>
        <v>11.255253183487273</v>
      </c>
      <c r="V16" s="47">
        <f t="shared" si="5"/>
        <v>2641063.9197612964</v>
      </c>
    </row>
    <row r="17" spans="1:24" ht="15.6" x14ac:dyDescent="0.3">
      <c r="A17" s="2" t="s">
        <v>135</v>
      </c>
      <c r="B17" s="21" t="s">
        <v>148</v>
      </c>
      <c r="C17" s="1" t="s">
        <v>206</v>
      </c>
      <c r="D17" s="17">
        <v>26571839.079999998</v>
      </c>
      <c r="E17" s="17">
        <v>21378547.239999987</v>
      </c>
      <c r="F17" s="17">
        <v>28930032.399999987</v>
      </c>
      <c r="G17" s="17">
        <v>29008866.071999986</v>
      </c>
      <c r="H17" s="17">
        <v>23458005.864</v>
      </c>
      <c r="I17" s="1">
        <f t="shared" si="0"/>
        <v>26472321.197999988</v>
      </c>
      <c r="J17" s="1">
        <f t="shared" si="6"/>
        <v>-11.386668027538599</v>
      </c>
      <c r="K17" s="1">
        <f>('2020a'!J16+'2021a'!J16+'2022a'!J16)/3</f>
        <v>-1.7419395877920738</v>
      </c>
      <c r="L17" s="1">
        <f t="shared" si="1"/>
        <v>-9.644728439746526</v>
      </c>
      <c r="M17" s="32">
        <v>0</v>
      </c>
      <c r="N17" s="1">
        <f t="shared" si="2"/>
        <v>-1.7419395877920738</v>
      </c>
      <c r="O17" s="1">
        <f t="shared" si="3"/>
        <v>26011189.355244555</v>
      </c>
      <c r="P17" s="17">
        <f t="shared" si="4"/>
        <v>23458005.864</v>
      </c>
      <c r="Q17" s="1">
        <f t="shared" si="7"/>
        <v>10.884060248116896</v>
      </c>
      <c r="V17" s="47">
        <f t="shared" si="5"/>
        <v>2553183.4912445545</v>
      </c>
    </row>
    <row r="18" spans="1:24" ht="15.6" x14ac:dyDescent="0.3">
      <c r="A18" s="13" t="s">
        <v>136</v>
      </c>
      <c r="B18" s="21" t="s">
        <v>149</v>
      </c>
      <c r="C18" s="1" t="s">
        <v>207</v>
      </c>
      <c r="D18" s="17">
        <v>27701895.935999997</v>
      </c>
      <c r="E18" s="17">
        <v>27860853.456</v>
      </c>
      <c r="F18" s="17">
        <v>25524164.023999993</v>
      </c>
      <c r="G18" s="17">
        <v>26210528.944000002</v>
      </c>
      <c r="H18" s="17">
        <v>20598511.239999998</v>
      </c>
      <c r="I18" s="1">
        <f t="shared" si="0"/>
        <v>26824360.59</v>
      </c>
      <c r="J18" s="1">
        <f t="shared" si="6"/>
        <v>-23.209684082165857</v>
      </c>
      <c r="K18" s="1">
        <f>('2020a'!J17+'2021a'!J17+'2022a'!J17)/3</f>
        <v>-11.902688056370025</v>
      </c>
      <c r="L18" s="1">
        <f t="shared" si="1"/>
        <v>-11.306996025795833</v>
      </c>
      <c r="M18" s="32">
        <v>0</v>
      </c>
      <c r="N18" s="1">
        <f t="shared" si="2"/>
        <v>-11.902688056370025</v>
      </c>
      <c r="O18" s="1">
        <f t="shared" si="3"/>
        <v>23631540.625856444</v>
      </c>
      <c r="P18" s="17">
        <f t="shared" si="4"/>
        <v>20598511.239999998</v>
      </c>
      <c r="Q18" s="1">
        <f t="shared" si="7"/>
        <v>14.724507759408567</v>
      </c>
      <c r="V18" s="47">
        <f t="shared" si="5"/>
        <v>3033029.3858564459</v>
      </c>
    </row>
    <row r="19" spans="1:24" ht="15.6" x14ac:dyDescent="0.3">
      <c r="A19" s="13"/>
      <c r="B19" s="22" t="s">
        <v>29</v>
      </c>
      <c r="C19" s="1" t="s">
        <v>208</v>
      </c>
      <c r="D19" s="17">
        <v>32850749.392000001</v>
      </c>
      <c r="E19" s="17">
        <v>26168015.472000003</v>
      </c>
      <c r="F19" s="17">
        <v>25505982.400000006</v>
      </c>
      <c r="G19" s="17">
        <v>30188564.856000021</v>
      </c>
      <c r="H19" s="17">
        <v>23319885.640000015</v>
      </c>
      <c r="I19" s="1">
        <f t="shared" si="0"/>
        <v>28678328.030000009</v>
      </c>
      <c r="J19" s="1">
        <f t="shared" si="6"/>
        <v>-18.684640137997583</v>
      </c>
      <c r="K19" s="1">
        <f>('2020a'!J18+'2021a'!J18+'2022a'!J18)/3</f>
        <v>-2.7956006578741195</v>
      </c>
      <c r="L19" s="1">
        <f t="shared" si="1"/>
        <v>-15.889039480123463</v>
      </c>
      <c r="M19" s="32">
        <v>-6.41</v>
      </c>
      <c r="N19" s="1">
        <f t="shared" si="2"/>
        <v>-9.2056006578741201</v>
      </c>
      <c r="O19" s="1">
        <f t="shared" si="3"/>
        <v>26038315.676203031</v>
      </c>
      <c r="P19" s="17">
        <f t="shared" si="4"/>
        <v>23319885.640000015</v>
      </c>
      <c r="Q19" s="1">
        <f t="shared" si="7"/>
        <v>11.657132792881972</v>
      </c>
      <c r="V19" s="47">
        <f t="shared" si="5"/>
        <v>2718430.0362030156</v>
      </c>
    </row>
    <row r="20" spans="1:24" ht="15.6" x14ac:dyDescent="0.3">
      <c r="A20" s="7"/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1" t="s">
        <v>35</v>
      </c>
      <c r="Q20" s="1">
        <f>SUM(Q6:Q19)/14</f>
        <v>7.038807970583119</v>
      </c>
      <c r="R20" s="36" t="s">
        <v>58</v>
      </c>
      <c r="S20">
        <f>SQRT(SUMXMY2(O6:O19, P6:P19) / COUNT(P6:P19))</f>
        <v>1926705.3311319244</v>
      </c>
      <c r="T20" s="36" t="s">
        <v>59</v>
      </c>
      <c r="U20" s="36">
        <f>RSQ(O6:O19,P6:P19)</f>
        <v>0.62926100140800911</v>
      </c>
      <c r="V20" s="36" t="s">
        <v>60</v>
      </c>
      <c r="W20" s="36">
        <f t="array" ref="W20">AVERAGE(ABS(V6:V19))</f>
        <v>1538538.5904148829</v>
      </c>
      <c r="X20" s="36" cm="1">
        <f t="array" ref="X20">SUMPRODUCT(ABS(O6:O19 - P6:P19)) / COUNT(O6:O19)</f>
        <v>1538538.5904148829</v>
      </c>
    </row>
    <row r="22" spans="1:24" x14ac:dyDescent="0.3">
      <c r="A22" s="28" t="s">
        <v>209</v>
      </c>
    </row>
    <row r="23" spans="1:24" ht="15.6" x14ac:dyDescent="0.3">
      <c r="A23" s="2" t="s">
        <v>123</v>
      </c>
      <c r="B23" s="2" t="s">
        <v>124</v>
      </c>
      <c r="C23" s="3" t="s">
        <v>125</v>
      </c>
      <c r="D23" s="107" t="s">
        <v>126</v>
      </c>
      <c r="E23" s="108"/>
      <c r="F23" s="108"/>
      <c r="G23" s="108"/>
      <c r="H23" s="108"/>
      <c r="I23" s="109" t="s">
        <v>25</v>
      </c>
      <c r="J23" s="109" t="s">
        <v>26</v>
      </c>
      <c r="K23" s="109" t="s">
        <v>28</v>
      </c>
      <c r="L23" s="109" t="s">
        <v>27</v>
      </c>
      <c r="M23" s="5" t="s">
        <v>0</v>
      </c>
      <c r="N23" s="4" t="s">
        <v>2</v>
      </c>
      <c r="O23" s="19" t="s">
        <v>3</v>
      </c>
      <c r="P23" s="6" t="s">
        <v>4</v>
      </c>
      <c r="Q23" s="5" t="s">
        <v>5</v>
      </c>
    </row>
    <row r="24" spans="1:24" ht="15.6" x14ac:dyDescent="0.3">
      <c r="A24" s="7"/>
      <c r="B24" s="7"/>
      <c r="C24" s="8"/>
      <c r="D24" s="9" t="s">
        <v>127</v>
      </c>
      <c r="E24" s="9" t="s">
        <v>128</v>
      </c>
      <c r="F24" s="9" t="s">
        <v>129</v>
      </c>
      <c r="G24" s="9" t="s">
        <v>130</v>
      </c>
      <c r="H24" s="9" t="s">
        <v>131</v>
      </c>
      <c r="I24" s="110"/>
      <c r="J24" s="110"/>
      <c r="K24" s="110"/>
      <c r="L24" s="110"/>
      <c r="M24" s="10" t="s">
        <v>1</v>
      </c>
      <c r="N24" s="11" t="s">
        <v>26</v>
      </c>
      <c r="O24" s="20" t="s">
        <v>51</v>
      </c>
      <c r="P24" s="12" t="s">
        <v>52</v>
      </c>
      <c r="Q24" s="10" t="s">
        <v>6</v>
      </c>
    </row>
    <row r="25" spans="1:24" ht="15.6" x14ac:dyDescent="0.3">
      <c r="A25" s="2" t="s">
        <v>132</v>
      </c>
      <c r="B25" s="1" t="s">
        <v>137</v>
      </c>
      <c r="C25" s="1" t="s">
        <v>196</v>
      </c>
      <c r="D25" s="17">
        <v>24649306.023999996</v>
      </c>
      <c r="E25" s="17">
        <v>26388463.711999997</v>
      </c>
      <c r="F25" s="17">
        <v>25474317.656000007</v>
      </c>
      <c r="G25" s="17">
        <v>25889710.648000002</v>
      </c>
      <c r="H25" s="17">
        <v>21383235.272000007</v>
      </c>
      <c r="I25" s="1">
        <v>25600449.510000002</v>
      </c>
      <c r="J25" s="1">
        <v>-16.473203864458213</v>
      </c>
      <c r="K25" s="1">
        <v>-5.1876095222967491</v>
      </c>
      <c r="L25" s="1">
        <v>-11.285594342161463</v>
      </c>
      <c r="M25" s="31">
        <v>-12</v>
      </c>
      <c r="N25" s="1">
        <f>M25+K25</f>
        <v>-17.18760952229675</v>
      </c>
      <c r="O25" s="1">
        <f>I25+((N25*I25)/100)</f>
        <v>21200344.212268472</v>
      </c>
      <c r="P25" s="17">
        <f>H25</f>
        <v>21383235.272000007</v>
      </c>
      <c r="Q25" s="1">
        <f>-((O25-H25)/H25)*100</f>
        <v>0.8553011618920916</v>
      </c>
      <c r="V25" s="47">
        <f>(O25-P25)</f>
        <v>-182891.05973153561</v>
      </c>
    </row>
    <row r="26" spans="1:24" ht="15.6" x14ac:dyDescent="0.3">
      <c r="A26" s="7"/>
      <c r="B26" s="1" t="s">
        <v>138</v>
      </c>
      <c r="C26" s="1" t="s">
        <v>197</v>
      </c>
      <c r="D26" s="17">
        <v>20767779.824000008</v>
      </c>
      <c r="E26" s="17">
        <v>29123880.240000013</v>
      </c>
      <c r="F26" s="17">
        <v>29726540.503999997</v>
      </c>
      <c r="G26" s="17">
        <v>29297503.66399999</v>
      </c>
      <c r="H26" s="17">
        <v>23369011.471999992</v>
      </c>
      <c r="I26" s="1">
        <v>27228926.058000002</v>
      </c>
      <c r="J26" s="1">
        <v>-14.175787094129433</v>
      </c>
      <c r="K26" s="1">
        <v>-4.9532392575701598</v>
      </c>
      <c r="L26" s="1">
        <v>-9.2225478365592721</v>
      </c>
      <c r="M26" s="31">
        <v>-6</v>
      </c>
      <c r="N26" s="1">
        <f t="shared" ref="N26:N38" si="8">M26+K26</f>
        <v>-10.953239257570161</v>
      </c>
      <c r="O26" s="1">
        <f t="shared" ref="O26:O38" si="9">I26+((N26*I26)/100)</f>
        <v>24246476.639600396</v>
      </c>
      <c r="P26" s="17">
        <f t="shared" ref="P26:P38" si="10">H26</f>
        <v>23369011.471999992</v>
      </c>
      <c r="Q26" s="1">
        <f>((O26-H26)/H26)*100</f>
        <v>3.7548236417777248</v>
      </c>
      <c r="V26" s="47">
        <f t="shared" ref="V26:V38" si="11">(O26-P26)</f>
        <v>877465.16760040447</v>
      </c>
    </row>
    <row r="27" spans="1:24" ht="15.6" x14ac:dyDescent="0.3">
      <c r="A27" s="2" t="s">
        <v>133</v>
      </c>
      <c r="B27" s="1" t="s">
        <v>139</v>
      </c>
      <c r="C27" s="1" t="s">
        <v>198</v>
      </c>
      <c r="D27" s="17">
        <v>22208042.696000002</v>
      </c>
      <c r="E27" s="17">
        <v>28933956.82399999</v>
      </c>
      <c r="F27" s="17">
        <v>29751614.272000015</v>
      </c>
      <c r="G27" s="17">
        <v>22312681.199999999</v>
      </c>
      <c r="H27" s="17">
        <v>20658324.559999991</v>
      </c>
      <c r="I27" s="1">
        <v>25801573.748000003</v>
      </c>
      <c r="J27" s="1">
        <v>-19.933858446904576</v>
      </c>
      <c r="K27" s="1">
        <v>-6.2290872305821283</v>
      </c>
      <c r="L27" s="1">
        <v>-13.704771216322449</v>
      </c>
      <c r="M27" s="1">
        <v>0</v>
      </c>
      <c r="N27" s="1">
        <f t="shared" si="8"/>
        <v>-6.2290872305821283</v>
      </c>
      <c r="O27" s="1">
        <f t="shared" si="9"/>
        <v>24194371.212374106</v>
      </c>
      <c r="P27" s="17">
        <f t="shared" si="10"/>
        <v>20658324.559999991</v>
      </c>
      <c r="Q27" s="1">
        <f>((O27-H27)/H27)*100</f>
        <v>17.116812363481021</v>
      </c>
      <c r="V27" s="47">
        <f t="shared" si="11"/>
        <v>3536046.6523741148</v>
      </c>
    </row>
    <row r="28" spans="1:24" ht="15.6" x14ac:dyDescent="0.3">
      <c r="A28" s="13"/>
      <c r="B28" s="1" t="s">
        <v>140</v>
      </c>
      <c r="C28" s="1" t="s">
        <v>199</v>
      </c>
      <c r="D28" s="17">
        <v>27025283.271999992</v>
      </c>
      <c r="E28" s="17">
        <v>21083587.744000003</v>
      </c>
      <c r="F28" s="17">
        <v>28915431.056000009</v>
      </c>
      <c r="G28" s="17">
        <v>29089796.352000002</v>
      </c>
      <c r="H28" s="17">
        <v>23414288.264000002</v>
      </c>
      <c r="I28" s="1">
        <v>26528524.605999999</v>
      </c>
      <c r="J28" s="1">
        <v>-11.739199176179005</v>
      </c>
      <c r="K28" s="1">
        <v>-1.6861633723729623</v>
      </c>
      <c r="L28" s="1">
        <v>-10.053035803806043</v>
      </c>
      <c r="M28" s="30">
        <v>-9</v>
      </c>
      <c r="N28" s="1">
        <f t="shared" si="8"/>
        <v>-10.686163372372963</v>
      </c>
      <c r="O28" s="1">
        <f t="shared" si="9"/>
        <v>23693643.126322679</v>
      </c>
      <c r="P28" s="17">
        <f t="shared" si="10"/>
        <v>23414288.264000002</v>
      </c>
      <c r="Q28" s="1">
        <f>((O28-H28)/H28)*100</f>
        <v>1.193095682315449</v>
      </c>
      <c r="V28" s="47">
        <f t="shared" si="11"/>
        <v>279354.86232267693</v>
      </c>
    </row>
    <row r="29" spans="1:24" ht="15.6" x14ac:dyDescent="0.3">
      <c r="A29" s="13"/>
      <c r="B29" s="1" t="s">
        <v>141</v>
      </c>
      <c r="C29" s="1" t="s">
        <v>200</v>
      </c>
      <c r="D29" s="17">
        <v>23272361.783999994</v>
      </c>
      <c r="E29" s="17">
        <v>30686317.911999989</v>
      </c>
      <c r="F29" s="17">
        <v>29710821.192000005</v>
      </c>
      <c r="G29" s="17">
        <v>29906453.991999999</v>
      </c>
      <c r="H29" s="17">
        <v>23798220.599999998</v>
      </c>
      <c r="I29" s="1">
        <v>28393988.719999995</v>
      </c>
      <c r="J29" s="1">
        <v>-16.18570805715245</v>
      </c>
      <c r="K29" s="1">
        <v>-4.518311150841698</v>
      </c>
      <c r="L29" s="1">
        <v>-11.667396906310753</v>
      </c>
      <c r="M29" s="31">
        <v>-9</v>
      </c>
      <c r="N29" s="1">
        <f t="shared" si="8"/>
        <v>-13.518311150841697</v>
      </c>
      <c r="O29" s="1">
        <f t="shared" si="9"/>
        <v>24555600.9766955</v>
      </c>
      <c r="P29" s="17">
        <f t="shared" si="10"/>
        <v>23798220.599999998</v>
      </c>
      <c r="Q29" s="1">
        <f>((O29-H29)/H29)*100</f>
        <v>3.1825084296239465</v>
      </c>
      <c r="V29" s="47">
        <f t="shared" si="11"/>
        <v>757380.37669550255</v>
      </c>
    </row>
    <row r="30" spans="1:24" ht="15.6" x14ac:dyDescent="0.3">
      <c r="A30" s="13"/>
      <c r="B30" s="1" t="s">
        <v>142</v>
      </c>
      <c r="C30" s="1" t="s">
        <v>201</v>
      </c>
      <c r="D30" s="17">
        <v>27210185.296000004</v>
      </c>
      <c r="E30" s="17">
        <v>27031164.551999997</v>
      </c>
      <c r="F30" s="17">
        <v>27719443.167999998</v>
      </c>
      <c r="G30" s="17">
        <v>27294018.752000004</v>
      </c>
      <c r="H30" s="17">
        <v>25703679.503999997</v>
      </c>
      <c r="I30" s="1">
        <v>27313702.942000002</v>
      </c>
      <c r="J30" s="1">
        <v>-5.894563038262703</v>
      </c>
      <c r="K30" s="1">
        <v>-2.1361635756669308</v>
      </c>
      <c r="L30" s="1">
        <v>-3.7583994625957722</v>
      </c>
      <c r="M30" s="31">
        <v>-4.5</v>
      </c>
      <c r="N30" s="1">
        <f t="shared" si="8"/>
        <v>-6.6361635756669308</v>
      </c>
      <c r="O30" s="1">
        <f t="shared" si="9"/>
        <v>25501120.936197132</v>
      </c>
      <c r="P30" s="17">
        <f t="shared" si="10"/>
        <v>25703679.503999997</v>
      </c>
      <c r="Q30" s="1">
        <f>-((O30-H30)/H30)*100</f>
        <v>0.78805280688059842</v>
      </c>
      <c r="V30" s="47">
        <f t="shared" si="11"/>
        <v>-202558.56780286506</v>
      </c>
    </row>
    <row r="31" spans="1:24" ht="15.6" x14ac:dyDescent="0.3">
      <c r="A31" s="13"/>
      <c r="B31" s="1" t="s">
        <v>143</v>
      </c>
      <c r="C31" s="1" t="s">
        <v>202</v>
      </c>
      <c r="D31" s="17">
        <v>28152490.67200001</v>
      </c>
      <c r="E31" s="17">
        <v>24068160.223999988</v>
      </c>
      <c r="F31" s="17">
        <v>21402954.399999991</v>
      </c>
      <c r="G31" s="17">
        <v>19347440.591999996</v>
      </c>
      <c r="H31" s="17">
        <v>18556039.552000005</v>
      </c>
      <c r="I31" s="1">
        <v>23242761.471999995</v>
      </c>
      <c r="J31" s="1">
        <v>-20.164221560531754</v>
      </c>
      <c r="K31" s="1">
        <v>-4.5612356338052029</v>
      </c>
      <c r="L31" s="1">
        <v>-15.60298592672655</v>
      </c>
      <c r="M31" s="31">
        <v>-6</v>
      </c>
      <c r="N31" s="1">
        <f t="shared" si="8"/>
        <v>-10.561235633805204</v>
      </c>
      <c r="O31" s="1">
        <f t="shared" si="9"/>
        <v>20788038.665138785</v>
      </c>
      <c r="P31" s="17">
        <f t="shared" si="10"/>
        <v>18556039.552000005</v>
      </c>
      <c r="Q31" s="1">
        <f t="shared" ref="Q31:Q38" si="12">((O31-H31)/H31)*100</f>
        <v>12.028423990388676</v>
      </c>
      <c r="V31" s="47">
        <f t="shared" si="11"/>
        <v>2231999.11313878</v>
      </c>
    </row>
    <row r="32" spans="1:24" ht="15.6" x14ac:dyDescent="0.3">
      <c r="A32" s="13"/>
      <c r="B32" s="1" t="s">
        <v>144</v>
      </c>
      <c r="C32" s="1" t="s">
        <v>203</v>
      </c>
      <c r="D32" s="17">
        <v>24068160.223999988</v>
      </c>
      <c r="E32" s="17">
        <v>21402954.399999991</v>
      </c>
      <c r="F32" s="17">
        <v>19347440.591999996</v>
      </c>
      <c r="G32" s="17">
        <v>18556039.552000005</v>
      </c>
      <c r="H32" s="17">
        <v>20061147.615999997</v>
      </c>
      <c r="I32" s="1">
        <v>20843648.691999994</v>
      </c>
      <c r="J32" s="1">
        <v>-3.7541463472291654</v>
      </c>
      <c r="K32" s="1">
        <v>-2.2169826982039371</v>
      </c>
      <c r="L32" s="1">
        <v>-1.5371636490252283</v>
      </c>
      <c r="M32" s="31">
        <v>0</v>
      </c>
      <c r="N32" s="1">
        <f t="shared" si="8"/>
        <v>-2.2169826982039371</v>
      </c>
      <c r="O32" s="1">
        <f t="shared" si="9"/>
        <v>20381548.606823944</v>
      </c>
      <c r="P32" s="17">
        <f t="shared" si="10"/>
        <v>20061147.615999997</v>
      </c>
      <c r="Q32" s="1">
        <f t="shared" si="12"/>
        <v>1.5971219441524247</v>
      </c>
      <c r="V32" s="47">
        <f t="shared" si="11"/>
        <v>320400.99082394689</v>
      </c>
    </row>
    <row r="33" spans="1:24" ht="15.6" x14ac:dyDescent="0.3">
      <c r="A33" s="2" t="s">
        <v>134</v>
      </c>
      <c r="B33" s="1" t="s">
        <v>145</v>
      </c>
      <c r="C33" s="1" t="s">
        <v>204</v>
      </c>
      <c r="D33" s="17">
        <v>26929203.224000007</v>
      </c>
      <c r="E33" s="17">
        <v>26205002.327999994</v>
      </c>
      <c r="F33" s="17">
        <v>27649232.464000002</v>
      </c>
      <c r="G33" s="17">
        <v>28487017.607999995</v>
      </c>
      <c r="H33" s="17">
        <v>22518592.687999986</v>
      </c>
      <c r="I33" s="1">
        <v>27317613.905999999</v>
      </c>
      <c r="J33" s="1">
        <v>-17.567497785544013</v>
      </c>
      <c r="K33" s="1">
        <v>-8.106170516711904</v>
      </c>
      <c r="L33" s="1">
        <v>-9.4613272688321093</v>
      </c>
      <c r="M33" s="31">
        <v>-4.5</v>
      </c>
      <c r="N33" s="1">
        <f t="shared" si="8"/>
        <v>-12.606170516711904</v>
      </c>
      <c r="O33" s="1">
        <f t="shared" si="9"/>
        <v>23873908.915912636</v>
      </c>
      <c r="P33" s="17">
        <f t="shared" si="10"/>
        <v>22518592.687999986</v>
      </c>
      <c r="Q33" s="1">
        <f t="shared" si="12"/>
        <v>6.0186542147231465</v>
      </c>
      <c r="V33" s="47">
        <f t="shared" si="11"/>
        <v>1355316.2279126495</v>
      </c>
    </row>
    <row r="34" spans="1:24" ht="15.6" x14ac:dyDescent="0.3">
      <c r="A34" s="13"/>
      <c r="B34" s="1" t="s">
        <v>146</v>
      </c>
      <c r="C34" s="1" t="s">
        <v>205</v>
      </c>
      <c r="D34" s="17">
        <v>23185442.671999995</v>
      </c>
      <c r="E34" s="17">
        <v>30488212.287999984</v>
      </c>
      <c r="F34" s="17">
        <v>31284871.175999995</v>
      </c>
      <c r="G34" s="17">
        <v>30880025.823999994</v>
      </c>
      <c r="H34" s="17">
        <v>25094944.103999987</v>
      </c>
      <c r="I34" s="1">
        <v>28959637.989999995</v>
      </c>
      <c r="J34" s="1">
        <v>-13.345104270068978</v>
      </c>
      <c r="K34" s="1">
        <v>-6.5666471610718533</v>
      </c>
      <c r="L34" s="1">
        <v>-6.7784571089971246</v>
      </c>
      <c r="M34" s="31">
        <v>-4.8235999999999999</v>
      </c>
      <c r="N34" s="1">
        <f t="shared" si="8"/>
        <v>-11.390247161071853</v>
      </c>
      <c r="O34" s="1">
        <f t="shared" si="9"/>
        <v>25661063.645987336</v>
      </c>
      <c r="P34" s="17">
        <f t="shared" si="10"/>
        <v>25094944.103999987</v>
      </c>
      <c r="Q34" s="1">
        <f t="shared" si="12"/>
        <v>2.2559107509512732</v>
      </c>
      <c r="V34" s="47">
        <f t="shared" si="11"/>
        <v>566119.54198734835</v>
      </c>
    </row>
    <row r="35" spans="1:24" ht="15.6" x14ac:dyDescent="0.3">
      <c r="A35" s="13"/>
      <c r="B35" s="1" t="s">
        <v>147</v>
      </c>
      <c r="C35" s="1" t="s">
        <v>175</v>
      </c>
      <c r="D35" s="17">
        <v>33735338.095999993</v>
      </c>
      <c r="E35" s="17">
        <v>32642074.944000002</v>
      </c>
      <c r="F35" s="17">
        <v>31107022.223999999</v>
      </c>
      <c r="G35" s="17">
        <v>22935017.631999999</v>
      </c>
      <c r="H35" s="17">
        <v>23465166.680000011</v>
      </c>
      <c r="I35" s="1">
        <v>30104863.223999999</v>
      </c>
      <c r="J35" s="1">
        <v>-22.055229065803342</v>
      </c>
      <c r="K35" s="1">
        <v>-8.7823477538703028</v>
      </c>
      <c r="L35" s="1">
        <v>-13.272881311933039</v>
      </c>
      <c r="M35" s="31">
        <v>-4.5</v>
      </c>
      <c r="N35" s="1">
        <f t="shared" si="8"/>
        <v>-13.282347753870303</v>
      </c>
      <c r="O35" s="1">
        <f t="shared" si="9"/>
        <v>26106230.599761307</v>
      </c>
      <c r="P35" s="17">
        <f t="shared" si="10"/>
        <v>23465166.680000011</v>
      </c>
      <c r="Q35" s="1">
        <f t="shared" si="12"/>
        <v>11.255253183487273</v>
      </c>
      <c r="V35" s="47">
        <f t="shared" si="11"/>
        <v>2641063.9197612964</v>
      </c>
    </row>
    <row r="36" spans="1:24" ht="15.6" x14ac:dyDescent="0.3">
      <c r="A36" s="2" t="s">
        <v>135</v>
      </c>
      <c r="B36" s="21" t="s">
        <v>148</v>
      </c>
      <c r="C36" s="1" t="s">
        <v>206</v>
      </c>
      <c r="D36" s="17">
        <v>26571839.079999998</v>
      </c>
      <c r="E36" s="17">
        <v>21378547.239999987</v>
      </c>
      <c r="F36" s="17">
        <v>28930032.399999987</v>
      </c>
      <c r="G36" s="17">
        <v>29008866.071999986</v>
      </c>
      <c r="H36" s="17">
        <v>23458005.864</v>
      </c>
      <c r="I36" s="1">
        <v>26472321.197999988</v>
      </c>
      <c r="J36" s="1">
        <v>-11.386668027538599</v>
      </c>
      <c r="K36" s="1">
        <v>-1.7419395877920738</v>
      </c>
      <c r="L36" s="1">
        <v>-9.644728439746526</v>
      </c>
      <c r="M36" s="31">
        <v>0</v>
      </c>
      <c r="N36" s="1">
        <f t="shared" si="8"/>
        <v>-1.7419395877920738</v>
      </c>
      <c r="O36" s="1">
        <f t="shared" si="9"/>
        <v>26011189.355244555</v>
      </c>
      <c r="P36" s="17">
        <f t="shared" si="10"/>
        <v>23458005.864</v>
      </c>
      <c r="Q36" s="1">
        <f t="shared" si="12"/>
        <v>10.884060248116896</v>
      </c>
      <c r="V36" s="47">
        <f t="shared" si="11"/>
        <v>2553183.4912445545</v>
      </c>
    </row>
    <row r="37" spans="1:24" ht="15.6" x14ac:dyDescent="0.3">
      <c r="A37" s="13" t="s">
        <v>136</v>
      </c>
      <c r="B37" s="21" t="s">
        <v>149</v>
      </c>
      <c r="C37" s="1" t="s">
        <v>207</v>
      </c>
      <c r="D37" s="17">
        <v>27701895.935999997</v>
      </c>
      <c r="E37" s="17">
        <v>27860853.456</v>
      </c>
      <c r="F37" s="17">
        <v>25524164.023999993</v>
      </c>
      <c r="G37" s="17">
        <v>26210528.944000002</v>
      </c>
      <c r="H37" s="17">
        <v>20598511.239999998</v>
      </c>
      <c r="I37" s="1">
        <v>26824360.59</v>
      </c>
      <c r="J37" s="1">
        <v>-23.209684082165857</v>
      </c>
      <c r="K37" s="1">
        <v>-11.902688056370025</v>
      </c>
      <c r="L37" s="1">
        <v>-11.306996025795833</v>
      </c>
      <c r="M37" s="31">
        <v>0</v>
      </c>
      <c r="N37" s="1">
        <f t="shared" si="8"/>
        <v>-11.902688056370025</v>
      </c>
      <c r="O37" s="1">
        <f t="shared" si="9"/>
        <v>23631540.625856444</v>
      </c>
      <c r="P37" s="17">
        <f t="shared" si="10"/>
        <v>20598511.239999998</v>
      </c>
      <c r="Q37" s="1">
        <f t="shared" si="12"/>
        <v>14.724507759408567</v>
      </c>
      <c r="V37" s="47">
        <f t="shared" si="11"/>
        <v>3033029.3858564459</v>
      </c>
    </row>
    <row r="38" spans="1:24" ht="15.6" x14ac:dyDescent="0.3">
      <c r="A38" s="13"/>
      <c r="B38" s="22" t="s">
        <v>29</v>
      </c>
      <c r="C38" s="1" t="s">
        <v>208</v>
      </c>
      <c r="D38" s="17">
        <v>32850749.392000001</v>
      </c>
      <c r="E38" s="17">
        <v>26168015.472000003</v>
      </c>
      <c r="F38" s="17">
        <v>25505982.400000006</v>
      </c>
      <c r="G38" s="17">
        <v>30188564.856000021</v>
      </c>
      <c r="H38" s="17">
        <v>23319885.640000015</v>
      </c>
      <c r="I38" s="1">
        <v>28678328.030000009</v>
      </c>
      <c r="J38" s="1">
        <v>-18.684640137997583</v>
      </c>
      <c r="K38" s="1">
        <v>-2.7956006578741195</v>
      </c>
      <c r="L38" s="1">
        <v>-15.889039480123463</v>
      </c>
      <c r="M38" s="31">
        <v>-6</v>
      </c>
      <c r="N38" s="1">
        <f t="shared" si="8"/>
        <v>-8.7956006578741199</v>
      </c>
      <c r="O38" s="1">
        <f t="shared" si="9"/>
        <v>26155896.821126029</v>
      </c>
      <c r="P38" s="17">
        <f t="shared" si="10"/>
        <v>23319885.640000015</v>
      </c>
      <c r="Q38" s="1">
        <f t="shared" si="12"/>
        <v>12.161342576489631</v>
      </c>
      <c r="V38" s="47">
        <f t="shared" si="11"/>
        <v>2836011.1811260134</v>
      </c>
    </row>
    <row r="39" spans="1:24" ht="15.6" x14ac:dyDescent="0.3">
      <c r="A39" s="7"/>
      <c r="B39" s="21"/>
      <c r="C39" s="1"/>
      <c r="D39" s="17"/>
      <c r="E39" s="17"/>
      <c r="F39" s="17"/>
      <c r="G39" s="17"/>
      <c r="H39" s="17"/>
      <c r="I39" s="1"/>
      <c r="J39" s="1"/>
      <c r="K39" s="1"/>
      <c r="L39" s="1"/>
      <c r="M39" s="1"/>
      <c r="N39" s="1"/>
      <c r="O39" s="1"/>
      <c r="P39" s="1" t="s">
        <v>35</v>
      </c>
      <c r="Q39" s="1">
        <f>SUM(Q25:Q38)/14</f>
        <v>6.9868477681206231</v>
      </c>
      <c r="R39" s="36" t="s">
        <v>58</v>
      </c>
      <c r="S39">
        <f>SQRT(SUMXMY2(O25:O38, P25:P38) / COUNT(P25:P38))</f>
        <v>1926835.9672929151</v>
      </c>
      <c r="T39" s="36" t="s">
        <v>59</v>
      </c>
      <c r="U39" s="36">
        <f>RSQ(O25:O38,P25:P38)</f>
        <v>0.62265263392885084</v>
      </c>
      <c r="V39" s="36" t="s">
        <v>60</v>
      </c>
      <c r="W39" s="36">
        <f t="array" ref="W39">AVERAGE(ABS(V25:V38))</f>
        <v>1526630.0384555811</v>
      </c>
      <c r="X39" s="36" cm="1">
        <f t="array" ref="X39">SUMPRODUCT(ABS(O25:O38 - P25:P38)) / COUNT(O25:O38)</f>
        <v>1526630.0384555811</v>
      </c>
    </row>
    <row r="40" spans="1:24" ht="15.6" x14ac:dyDescent="0.3">
      <c r="A40" s="16"/>
      <c r="B40" s="16"/>
      <c r="C40" s="16"/>
      <c r="D40" s="33"/>
      <c r="E40" s="33"/>
      <c r="F40" s="33"/>
      <c r="G40" s="33"/>
      <c r="H40" s="33"/>
      <c r="I40" s="16"/>
      <c r="J40" s="16"/>
      <c r="K40" s="16"/>
      <c r="L40" s="16"/>
      <c r="M40" s="16"/>
      <c r="N40" s="16"/>
      <c r="O40" s="16"/>
      <c r="P40" s="16"/>
      <c r="Q40" s="16"/>
    </row>
    <row r="41" spans="1:24" ht="15.6" x14ac:dyDescent="0.3">
      <c r="A41" s="34" t="s">
        <v>210</v>
      </c>
      <c r="B41" s="16"/>
      <c r="C41" s="16"/>
      <c r="D41" s="33"/>
      <c r="E41" s="33"/>
      <c r="F41" s="33"/>
      <c r="G41" s="33"/>
      <c r="H41" s="33"/>
      <c r="I41" s="16"/>
      <c r="J41" s="16"/>
      <c r="K41" s="16"/>
      <c r="L41" s="16"/>
      <c r="M41" s="16"/>
      <c r="N41" s="16"/>
      <c r="O41" s="16"/>
      <c r="P41" s="16"/>
      <c r="Q41" s="16"/>
    </row>
    <row r="42" spans="1:24" ht="15.6" x14ac:dyDescent="0.3">
      <c r="A42" s="2" t="s">
        <v>123</v>
      </c>
      <c r="B42" s="2" t="s">
        <v>124</v>
      </c>
      <c r="C42" s="3" t="s">
        <v>125</v>
      </c>
      <c r="D42" s="107" t="s">
        <v>126</v>
      </c>
      <c r="E42" s="108"/>
      <c r="F42" s="108"/>
      <c r="G42" s="108"/>
      <c r="H42" s="108"/>
      <c r="I42" s="109" t="s">
        <v>25</v>
      </c>
      <c r="J42" s="109" t="s">
        <v>26</v>
      </c>
      <c r="K42" s="109" t="s">
        <v>28</v>
      </c>
      <c r="L42" s="109" t="s">
        <v>27</v>
      </c>
      <c r="M42" s="5" t="s">
        <v>0</v>
      </c>
      <c r="N42" s="4" t="s">
        <v>2</v>
      </c>
      <c r="O42" s="19" t="s">
        <v>3</v>
      </c>
      <c r="P42" s="6" t="s">
        <v>4</v>
      </c>
      <c r="Q42" s="5" t="s">
        <v>5</v>
      </c>
    </row>
    <row r="43" spans="1:24" ht="15.6" x14ac:dyDescent="0.3">
      <c r="A43" s="7"/>
      <c r="B43" s="7"/>
      <c r="C43" s="8"/>
      <c r="D43" s="9" t="s">
        <v>127</v>
      </c>
      <c r="E43" s="9" t="s">
        <v>128</v>
      </c>
      <c r="F43" s="9" t="s">
        <v>129</v>
      </c>
      <c r="G43" s="9" t="s">
        <v>130</v>
      </c>
      <c r="H43" s="9" t="s">
        <v>131</v>
      </c>
      <c r="I43" s="110"/>
      <c r="J43" s="110"/>
      <c r="K43" s="110"/>
      <c r="L43" s="110"/>
      <c r="M43" s="10" t="s">
        <v>1</v>
      </c>
      <c r="N43" s="11" t="s">
        <v>26</v>
      </c>
      <c r="O43" s="20" t="s">
        <v>51</v>
      </c>
      <c r="P43" s="12" t="s">
        <v>52</v>
      </c>
      <c r="Q43" s="10" t="s">
        <v>6</v>
      </c>
    </row>
    <row r="44" spans="1:24" ht="15.6" x14ac:dyDescent="0.3">
      <c r="A44" s="2" t="s">
        <v>132</v>
      </c>
      <c r="B44" s="1" t="s">
        <v>137</v>
      </c>
      <c r="C44" s="1" t="s">
        <v>196</v>
      </c>
      <c r="D44" s="17">
        <v>24649306.023999996</v>
      </c>
      <c r="E44" s="17">
        <v>26388463.711999997</v>
      </c>
      <c r="F44" s="17">
        <v>25474317.656000007</v>
      </c>
      <c r="G44" s="17">
        <v>25889710.648000002</v>
      </c>
      <c r="H44" s="17">
        <v>21383235.272000007</v>
      </c>
      <c r="I44" s="1">
        <v>25600449.510000002</v>
      </c>
      <c r="J44" s="1">
        <v>-16.473203864458213</v>
      </c>
      <c r="K44" s="1">
        <v>-5.1876095222967491</v>
      </c>
      <c r="L44" s="1">
        <v>-11.285594342161463</v>
      </c>
      <c r="M44" s="31">
        <v>-11.933400000000001</v>
      </c>
      <c r="N44" s="1">
        <f>M44+K44</f>
        <v>-17.121009522296749</v>
      </c>
      <c r="O44" s="66">
        <f>I44+((N44*I44)/100)</f>
        <v>21217394.11164213</v>
      </c>
      <c r="P44" s="17">
        <f>H44</f>
        <v>21383235.272000007</v>
      </c>
      <c r="Q44" s="1">
        <f>-((O44-H44)/H44)*100</f>
        <v>0.7755662707178651</v>
      </c>
      <c r="V44" s="47">
        <f>(O44-P44)</f>
        <v>-165841.16035787761</v>
      </c>
    </row>
    <row r="45" spans="1:24" ht="15.6" x14ac:dyDescent="0.3">
      <c r="A45" s="7"/>
      <c r="B45" s="1" t="s">
        <v>138</v>
      </c>
      <c r="C45" s="1" t="s">
        <v>197</v>
      </c>
      <c r="D45" s="17">
        <v>20767779.824000008</v>
      </c>
      <c r="E45" s="17">
        <v>29123880.240000013</v>
      </c>
      <c r="F45" s="17">
        <v>29726540.503999997</v>
      </c>
      <c r="G45" s="17">
        <v>29297503.66399999</v>
      </c>
      <c r="H45" s="17">
        <v>23369011.471999992</v>
      </c>
      <c r="I45" s="1">
        <v>27228926.058000002</v>
      </c>
      <c r="J45" s="1">
        <v>-14.175787094129433</v>
      </c>
      <c r="K45" s="1">
        <v>-4.9532392575701598</v>
      </c>
      <c r="L45" s="1">
        <v>-9.2225478365592721</v>
      </c>
      <c r="M45" s="31">
        <v>-6</v>
      </c>
      <c r="N45" s="1">
        <f t="shared" ref="N45:N57" si="13">M45+K45</f>
        <v>-10.953239257570161</v>
      </c>
      <c r="O45" s="66">
        <f t="shared" ref="O45:O57" si="14">I45+((N45*I45)/100)</f>
        <v>24246476.639600396</v>
      </c>
      <c r="P45" s="17">
        <f t="shared" ref="P45:P57" si="15">H45</f>
        <v>23369011.471999992</v>
      </c>
      <c r="Q45" s="1">
        <f>((O45-H45)/H45)*100</f>
        <v>3.7548236417777248</v>
      </c>
      <c r="V45" s="47">
        <f t="shared" ref="V45:V57" si="16">(O45-P45)</f>
        <v>877465.16760040447</v>
      </c>
    </row>
    <row r="46" spans="1:24" ht="15.6" x14ac:dyDescent="0.3">
      <c r="A46" s="2" t="s">
        <v>133</v>
      </c>
      <c r="B46" s="1" t="s">
        <v>139</v>
      </c>
      <c r="C46" s="1" t="s">
        <v>198</v>
      </c>
      <c r="D46" s="17">
        <v>22208042.696000002</v>
      </c>
      <c r="E46" s="17">
        <v>28933956.82399999</v>
      </c>
      <c r="F46" s="17">
        <v>29751614.272000015</v>
      </c>
      <c r="G46" s="17">
        <v>22312681.199999999</v>
      </c>
      <c r="H46" s="17">
        <v>20658324.559999991</v>
      </c>
      <c r="I46" s="1">
        <v>25801573.748000003</v>
      </c>
      <c r="J46" s="1">
        <v>-19.933858446904576</v>
      </c>
      <c r="K46" s="1">
        <v>-6.2290872305821283</v>
      </c>
      <c r="L46" s="1">
        <v>-13.704771216322449</v>
      </c>
      <c r="M46" s="1">
        <v>0</v>
      </c>
      <c r="N46" s="1">
        <f t="shared" si="13"/>
        <v>-6.2290872305821283</v>
      </c>
      <c r="O46" s="66">
        <f t="shared" si="14"/>
        <v>24194371.212374106</v>
      </c>
      <c r="P46" s="17">
        <f t="shared" si="15"/>
        <v>20658324.559999991</v>
      </c>
      <c r="Q46" s="1">
        <f>((O46-H46)/H46)*100</f>
        <v>17.116812363481021</v>
      </c>
      <c r="V46" s="47">
        <f t="shared" si="16"/>
        <v>3536046.6523741148</v>
      </c>
    </row>
    <row r="47" spans="1:24" ht="15.6" x14ac:dyDescent="0.3">
      <c r="A47" s="13"/>
      <c r="B47" s="1" t="s">
        <v>140</v>
      </c>
      <c r="C47" s="1" t="s">
        <v>199</v>
      </c>
      <c r="D47" s="17">
        <v>27025283.271999992</v>
      </c>
      <c r="E47" s="17">
        <v>21083587.744000003</v>
      </c>
      <c r="F47" s="17">
        <v>28915431.056000009</v>
      </c>
      <c r="G47" s="17">
        <v>29089796.352000002</v>
      </c>
      <c r="H47" s="17">
        <v>23414288.264000002</v>
      </c>
      <c r="I47" s="1">
        <v>26528524.605999999</v>
      </c>
      <c r="J47" s="1">
        <v>-11.739199176179005</v>
      </c>
      <c r="K47" s="1">
        <v>-1.6861633723729623</v>
      </c>
      <c r="L47" s="1">
        <v>-10.053035803806043</v>
      </c>
      <c r="M47" s="30">
        <v>-9</v>
      </c>
      <c r="N47" s="1">
        <f t="shared" si="13"/>
        <v>-10.686163372372963</v>
      </c>
      <c r="O47" s="66">
        <f t="shared" si="14"/>
        <v>23693643.126322679</v>
      </c>
      <c r="P47" s="17">
        <f t="shared" si="15"/>
        <v>23414288.264000002</v>
      </c>
      <c r="Q47" s="1">
        <f>((O47-H47)/H47)*100</f>
        <v>1.193095682315449</v>
      </c>
      <c r="V47" s="47">
        <f t="shared" si="16"/>
        <v>279354.86232267693</v>
      </c>
    </row>
    <row r="48" spans="1:24" ht="15.6" x14ac:dyDescent="0.3">
      <c r="A48" s="13"/>
      <c r="B48" s="1" t="s">
        <v>141</v>
      </c>
      <c r="C48" s="1" t="s">
        <v>200</v>
      </c>
      <c r="D48" s="17">
        <v>23272361.783999994</v>
      </c>
      <c r="E48" s="17">
        <v>30686317.911999989</v>
      </c>
      <c r="F48" s="17">
        <v>29710821.192000005</v>
      </c>
      <c r="G48" s="17">
        <v>29906453.991999999</v>
      </c>
      <c r="H48" s="17">
        <v>23798220.599999998</v>
      </c>
      <c r="I48" s="1">
        <v>28393988.719999995</v>
      </c>
      <c r="J48" s="1">
        <v>-16.18570805715245</v>
      </c>
      <c r="K48" s="1">
        <v>-4.518311150841698</v>
      </c>
      <c r="L48" s="1">
        <v>-11.667396906310753</v>
      </c>
      <c r="M48" s="31">
        <v>-9</v>
      </c>
      <c r="N48" s="1">
        <f t="shared" si="13"/>
        <v>-13.518311150841697</v>
      </c>
      <c r="O48" s="66">
        <f t="shared" si="14"/>
        <v>24555600.9766955</v>
      </c>
      <c r="P48" s="17">
        <f t="shared" si="15"/>
        <v>23798220.599999998</v>
      </c>
      <c r="Q48" s="1">
        <f>((O48-H48)/H48)*100</f>
        <v>3.1825084296239465</v>
      </c>
      <c r="V48" s="47">
        <f t="shared" si="16"/>
        <v>757380.37669550255</v>
      </c>
    </row>
    <row r="49" spans="1:24" ht="15.6" x14ac:dyDescent="0.3">
      <c r="A49" s="13"/>
      <c r="B49" s="1" t="s">
        <v>142</v>
      </c>
      <c r="C49" s="1" t="s">
        <v>201</v>
      </c>
      <c r="D49" s="17">
        <v>27210185.296000004</v>
      </c>
      <c r="E49" s="17">
        <v>27031164.551999997</v>
      </c>
      <c r="F49" s="17">
        <v>27719443.167999998</v>
      </c>
      <c r="G49" s="17">
        <v>27294018.752000004</v>
      </c>
      <c r="H49" s="17">
        <v>25703679.503999997</v>
      </c>
      <c r="I49" s="1">
        <v>27313702.942000002</v>
      </c>
      <c r="J49" s="1">
        <v>-5.894563038262703</v>
      </c>
      <c r="K49" s="1">
        <v>-2.1361635756669308</v>
      </c>
      <c r="L49" s="1">
        <v>-3.7583994625957722</v>
      </c>
      <c r="M49" s="31">
        <v>-4.5</v>
      </c>
      <c r="N49" s="1">
        <f t="shared" si="13"/>
        <v>-6.6361635756669308</v>
      </c>
      <c r="O49" s="66">
        <f t="shared" si="14"/>
        <v>25501120.936197132</v>
      </c>
      <c r="P49" s="17">
        <f t="shared" si="15"/>
        <v>25703679.503999997</v>
      </c>
      <c r="Q49" s="1">
        <f>-((O49-H49)/H49)*100</f>
        <v>0.78805280688059842</v>
      </c>
      <c r="V49" s="47">
        <f t="shared" si="16"/>
        <v>-202558.56780286506</v>
      </c>
    </row>
    <row r="50" spans="1:24" ht="15.6" x14ac:dyDescent="0.3">
      <c r="A50" s="13"/>
      <c r="B50" s="1" t="s">
        <v>143</v>
      </c>
      <c r="C50" s="1" t="s">
        <v>202</v>
      </c>
      <c r="D50" s="17">
        <v>28152490.67200001</v>
      </c>
      <c r="E50" s="17">
        <v>24068160.223999988</v>
      </c>
      <c r="F50" s="17">
        <v>21402954.399999991</v>
      </c>
      <c r="G50" s="17">
        <v>19347440.591999996</v>
      </c>
      <c r="H50" s="17">
        <v>18556039.552000005</v>
      </c>
      <c r="I50" s="1">
        <v>23242761.471999995</v>
      </c>
      <c r="J50" s="1">
        <v>-20.164221560531754</v>
      </c>
      <c r="K50" s="1">
        <v>-4.5612356338052029</v>
      </c>
      <c r="L50" s="1">
        <v>-15.60298592672655</v>
      </c>
      <c r="M50" s="31">
        <v>-6</v>
      </c>
      <c r="N50" s="1">
        <f t="shared" si="13"/>
        <v>-10.561235633805204</v>
      </c>
      <c r="O50" s="66">
        <f t="shared" si="14"/>
        <v>20788038.665138785</v>
      </c>
      <c r="P50" s="17">
        <f t="shared" si="15"/>
        <v>18556039.552000005</v>
      </c>
      <c r="Q50" s="1">
        <f t="shared" ref="Q50:Q57" si="17">((O50-H50)/H50)*100</f>
        <v>12.028423990388676</v>
      </c>
      <c r="V50" s="47">
        <f t="shared" si="16"/>
        <v>2231999.11313878</v>
      </c>
    </row>
    <row r="51" spans="1:24" ht="15.6" x14ac:dyDescent="0.3">
      <c r="A51" s="13"/>
      <c r="B51" s="1" t="s">
        <v>144</v>
      </c>
      <c r="C51" s="1" t="s">
        <v>203</v>
      </c>
      <c r="D51" s="17">
        <v>24068160.223999988</v>
      </c>
      <c r="E51" s="17">
        <v>21402954.399999991</v>
      </c>
      <c r="F51" s="17">
        <v>19347440.591999996</v>
      </c>
      <c r="G51" s="17">
        <v>18556039.552000005</v>
      </c>
      <c r="H51" s="17">
        <v>20061147.615999997</v>
      </c>
      <c r="I51" s="1">
        <v>20843648.691999994</v>
      </c>
      <c r="J51" s="1">
        <v>-3.7541463472291654</v>
      </c>
      <c r="K51" s="1">
        <v>-2.2169826982039371</v>
      </c>
      <c r="L51" s="1">
        <v>-1.5371636490252283</v>
      </c>
      <c r="M51" s="31">
        <v>0</v>
      </c>
      <c r="N51" s="1">
        <f t="shared" si="13"/>
        <v>-2.2169826982039371</v>
      </c>
      <c r="O51" s="66">
        <f t="shared" si="14"/>
        <v>20381548.606823944</v>
      </c>
      <c r="P51" s="17">
        <f t="shared" si="15"/>
        <v>20061147.615999997</v>
      </c>
      <c r="Q51" s="1">
        <f t="shared" si="17"/>
        <v>1.5971219441524247</v>
      </c>
      <c r="V51" s="47">
        <f t="shared" si="16"/>
        <v>320400.99082394689</v>
      </c>
    </row>
    <row r="52" spans="1:24" ht="15.6" x14ac:dyDescent="0.3">
      <c r="A52" s="2" t="s">
        <v>134</v>
      </c>
      <c r="B52" s="1" t="s">
        <v>145</v>
      </c>
      <c r="C52" s="1" t="s">
        <v>204</v>
      </c>
      <c r="D52" s="17">
        <v>26929203.224000007</v>
      </c>
      <c r="E52" s="17">
        <v>26205002.327999994</v>
      </c>
      <c r="F52" s="17">
        <v>27649232.464000002</v>
      </c>
      <c r="G52" s="17">
        <v>28487017.607999995</v>
      </c>
      <c r="H52" s="17">
        <v>22518592.687999986</v>
      </c>
      <c r="I52" s="1">
        <v>27317613.905999999</v>
      </c>
      <c r="J52" s="1">
        <v>-17.567497785544013</v>
      </c>
      <c r="K52" s="1">
        <v>-8.106170516711904</v>
      </c>
      <c r="L52" s="1">
        <v>-9.4613272688321093</v>
      </c>
      <c r="M52" s="31">
        <v>-4.5</v>
      </c>
      <c r="N52" s="1">
        <f t="shared" si="13"/>
        <v>-12.606170516711904</v>
      </c>
      <c r="O52" s="66">
        <f t="shared" si="14"/>
        <v>23873908.915912636</v>
      </c>
      <c r="P52" s="17">
        <f t="shared" si="15"/>
        <v>22518592.687999986</v>
      </c>
      <c r="Q52" s="1">
        <f t="shared" si="17"/>
        <v>6.0186542147231465</v>
      </c>
      <c r="V52" s="47">
        <f t="shared" si="16"/>
        <v>1355316.2279126495</v>
      </c>
    </row>
    <row r="53" spans="1:24" ht="15.6" x14ac:dyDescent="0.3">
      <c r="A53" s="13"/>
      <c r="B53" s="1" t="s">
        <v>146</v>
      </c>
      <c r="C53" s="1" t="s">
        <v>205</v>
      </c>
      <c r="D53" s="17">
        <v>23185442.671999995</v>
      </c>
      <c r="E53" s="17">
        <v>30488212.287999984</v>
      </c>
      <c r="F53" s="17">
        <v>31284871.175999995</v>
      </c>
      <c r="G53" s="17">
        <v>30880025.823999994</v>
      </c>
      <c r="H53" s="17">
        <v>25094944.103999987</v>
      </c>
      <c r="I53" s="1">
        <v>28959637.989999995</v>
      </c>
      <c r="J53" s="1">
        <v>-13.345104270068978</v>
      </c>
      <c r="K53" s="1">
        <v>-6.5666471610718533</v>
      </c>
      <c r="L53" s="1">
        <v>-6.7784571089971246</v>
      </c>
      <c r="M53" s="31">
        <v>-4.7571000000000003</v>
      </c>
      <c r="N53" s="1">
        <f t="shared" si="13"/>
        <v>-11.323747161071854</v>
      </c>
      <c r="O53" s="66">
        <f t="shared" si="14"/>
        <v>25680321.805250682</v>
      </c>
      <c r="P53" s="17">
        <f t="shared" si="15"/>
        <v>25094944.103999987</v>
      </c>
      <c r="Q53" s="1">
        <f t="shared" si="17"/>
        <v>2.3326519430556885</v>
      </c>
      <c r="V53" s="47">
        <f t="shared" si="16"/>
        <v>585377.70125069469</v>
      </c>
    </row>
    <row r="54" spans="1:24" ht="15.6" x14ac:dyDescent="0.3">
      <c r="A54" s="13"/>
      <c r="B54" s="1" t="s">
        <v>147</v>
      </c>
      <c r="C54" s="1" t="s">
        <v>175</v>
      </c>
      <c r="D54" s="17">
        <v>33735338.095999993</v>
      </c>
      <c r="E54" s="17">
        <v>32642074.944000002</v>
      </c>
      <c r="F54" s="17">
        <v>31107022.223999999</v>
      </c>
      <c r="G54" s="17">
        <v>22935017.631999999</v>
      </c>
      <c r="H54" s="17">
        <v>23465166.680000011</v>
      </c>
      <c r="I54" s="1">
        <v>30104863.223999999</v>
      </c>
      <c r="J54" s="1">
        <v>-22.055229065803342</v>
      </c>
      <c r="K54" s="1">
        <v>-8.7823477538703028</v>
      </c>
      <c r="L54" s="1">
        <v>-13.272881311933039</v>
      </c>
      <c r="M54" s="31">
        <v>-4.5</v>
      </c>
      <c r="N54" s="1">
        <f t="shared" si="13"/>
        <v>-13.282347753870303</v>
      </c>
      <c r="O54" s="66">
        <f t="shared" si="14"/>
        <v>26106230.599761307</v>
      </c>
      <c r="P54" s="17">
        <f t="shared" si="15"/>
        <v>23465166.680000011</v>
      </c>
      <c r="Q54" s="1">
        <f t="shared" si="17"/>
        <v>11.255253183487273</v>
      </c>
      <c r="V54" s="47">
        <f t="shared" si="16"/>
        <v>2641063.9197612964</v>
      </c>
    </row>
    <row r="55" spans="1:24" ht="15.6" x14ac:dyDescent="0.3">
      <c r="A55" s="2" t="s">
        <v>135</v>
      </c>
      <c r="B55" s="21" t="s">
        <v>148</v>
      </c>
      <c r="C55" s="1" t="s">
        <v>206</v>
      </c>
      <c r="D55" s="17">
        <v>26571839.079999998</v>
      </c>
      <c r="E55" s="17">
        <v>21378547.239999987</v>
      </c>
      <c r="F55" s="17">
        <v>28930032.399999987</v>
      </c>
      <c r="G55" s="17">
        <v>29008866.071999986</v>
      </c>
      <c r="H55" s="17">
        <v>23458005.864</v>
      </c>
      <c r="I55" s="1">
        <v>26472321.197999988</v>
      </c>
      <c r="J55" s="1">
        <v>-11.386668027538599</v>
      </c>
      <c r="K55" s="1">
        <v>-1.7419395877920738</v>
      </c>
      <c r="L55" s="1">
        <v>-9.644728439746526</v>
      </c>
      <c r="M55" s="31">
        <v>0</v>
      </c>
      <c r="N55" s="1">
        <f t="shared" si="13"/>
        <v>-1.7419395877920738</v>
      </c>
      <c r="O55" s="66">
        <f t="shared" si="14"/>
        <v>26011189.355244555</v>
      </c>
      <c r="P55" s="17">
        <f t="shared" si="15"/>
        <v>23458005.864</v>
      </c>
      <c r="Q55" s="1">
        <f t="shared" si="17"/>
        <v>10.884060248116896</v>
      </c>
      <c r="V55" s="47">
        <f t="shared" si="16"/>
        <v>2553183.4912445545</v>
      </c>
    </row>
    <row r="56" spans="1:24" ht="15.6" x14ac:dyDescent="0.3">
      <c r="A56" s="13" t="s">
        <v>136</v>
      </c>
      <c r="B56" s="21" t="s">
        <v>149</v>
      </c>
      <c r="C56" s="1" t="s">
        <v>207</v>
      </c>
      <c r="D56" s="17">
        <v>27701895.935999997</v>
      </c>
      <c r="E56" s="17">
        <v>27860853.456</v>
      </c>
      <c r="F56" s="17">
        <v>25524164.023999993</v>
      </c>
      <c r="G56" s="17">
        <v>26210528.944000002</v>
      </c>
      <c r="H56" s="17">
        <v>20598511.239999998</v>
      </c>
      <c r="I56" s="1">
        <v>26824360.59</v>
      </c>
      <c r="J56" s="1">
        <v>-23.209684082165857</v>
      </c>
      <c r="K56" s="1">
        <v>-11.902688056370025</v>
      </c>
      <c r="L56" s="1">
        <v>-11.306996025795833</v>
      </c>
      <c r="M56" s="31">
        <v>0</v>
      </c>
      <c r="N56" s="1">
        <f t="shared" si="13"/>
        <v>-11.902688056370025</v>
      </c>
      <c r="O56" s="66">
        <f t="shared" si="14"/>
        <v>23631540.625856444</v>
      </c>
      <c r="P56" s="17">
        <f t="shared" si="15"/>
        <v>20598511.239999998</v>
      </c>
      <c r="Q56" s="1">
        <f t="shared" si="17"/>
        <v>14.724507759408567</v>
      </c>
      <c r="V56" s="47">
        <f t="shared" si="16"/>
        <v>3033029.3858564459</v>
      </c>
    </row>
    <row r="57" spans="1:24" ht="15.6" x14ac:dyDescent="0.3">
      <c r="A57" s="13"/>
      <c r="B57" s="22" t="s">
        <v>29</v>
      </c>
      <c r="C57" s="1" t="s">
        <v>208</v>
      </c>
      <c r="D57" s="17">
        <v>32850749.392000001</v>
      </c>
      <c r="E57" s="17">
        <v>26168015.472000003</v>
      </c>
      <c r="F57" s="17">
        <v>25505982.400000006</v>
      </c>
      <c r="G57" s="17">
        <v>30188564.856000021</v>
      </c>
      <c r="H57" s="17">
        <v>23319885.640000015</v>
      </c>
      <c r="I57" s="1">
        <v>28678328.030000009</v>
      </c>
      <c r="J57" s="1">
        <v>-18.684640137997583</v>
      </c>
      <c r="K57" s="1">
        <v>-2.7956006578741195</v>
      </c>
      <c r="L57" s="1">
        <v>-15.889039480123463</v>
      </c>
      <c r="M57" s="31">
        <v>-6</v>
      </c>
      <c r="N57" s="1">
        <f t="shared" si="13"/>
        <v>-8.7956006578741199</v>
      </c>
      <c r="O57" s="66">
        <f t="shared" si="14"/>
        <v>26155896.821126029</v>
      </c>
      <c r="P57" s="17">
        <f t="shared" si="15"/>
        <v>23319885.640000015</v>
      </c>
      <c r="Q57" s="1">
        <f t="shared" si="17"/>
        <v>12.161342576489631</v>
      </c>
      <c r="V57" s="47">
        <f t="shared" si="16"/>
        <v>2836011.1811260134</v>
      </c>
    </row>
    <row r="58" spans="1:24" ht="15.6" x14ac:dyDescent="0.3">
      <c r="A58" s="7"/>
      <c r="B58" s="21"/>
      <c r="C58" s="1"/>
      <c r="D58" s="17"/>
      <c r="E58" s="17"/>
      <c r="F58" s="17"/>
      <c r="G58" s="17"/>
      <c r="H58" s="17"/>
      <c r="I58" s="1"/>
      <c r="J58" s="1"/>
      <c r="K58" s="1"/>
      <c r="L58" s="1"/>
      <c r="M58" s="1"/>
      <c r="N58" s="1"/>
      <c r="O58" s="1"/>
      <c r="P58" s="1" t="s">
        <v>35</v>
      </c>
      <c r="Q58" s="1">
        <f>SUM(Q44:Q57)/14</f>
        <v>6.9866339324727793</v>
      </c>
      <c r="R58" s="36" t="s">
        <v>58</v>
      </c>
      <c r="S58">
        <f>SQRT(SUMXMY2(O44:O57, P44:P57) / COUNT(P44:P57))</f>
        <v>1927136.7676276239</v>
      </c>
      <c r="T58" s="36" t="s">
        <v>59</v>
      </c>
      <c r="U58" s="36">
        <f>RSQ(O44:O57,P44:P57)</f>
        <v>0.62395878635648827</v>
      </c>
      <c r="V58" s="36" t="s">
        <v>60</v>
      </c>
      <c r="W58" s="36">
        <f t="array" ref="W58">AVERAGE(ABS(V44:V57))</f>
        <v>1526787.7713048444</v>
      </c>
      <c r="X58" s="36" cm="1">
        <f t="array" ref="X58">SUMPRODUCT(ABS(O44:O57 - P44:P57)) / COUNT(O44:O57)</f>
        <v>1526787.7713048444</v>
      </c>
    </row>
    <row r="59" spans="1:24" ht="15.6" x14ac:dyDescent="0.3">
      <c r="A59" s="16"/>
      <c r="B59" s="16"/>
      <c r="C59" s="16"/>
      <c r="D59" s="33"/>
      <c r="E59" s="33"/>
      <c r="F59" s="33"/>
      <c r="G59" s="33"/>
      <c r="H59" s="33"/>
      <c r="I59" s="16"/>
      <c r="J59" s="16"/>
      <c r="K59" s="16"/>
      <c r="L59" s="16"/>
      <c r="M59" s="16"/>
      <c r="N59" s="16"/>
      <c r="O59" s="16"/>
      <c r="P59" s="16"/>
      <c r="Q59" s="16"/>
    </row>
    <row r="60" spans="1:24" ht="15.6" x14ac:dyDescent="0.3">
      <c r="A60" s="34" t="s">
        <v>211</v>
      </c>
      <c r="B60" s="16"/>
      <c r="C60" s="16"/>
      <c r="D60" s="33"/>
      <c r="E60" s="33"/>
      <c r="F60" s="33"/>
      <c r="G60" s="33"/>
      <c r="H60" s="33"/>
      <c r="I60" s="16"/>
      <c r="J60" s="16"/>
      <c r="K60" s="16"/>
      <c r="L60" s="16"/>
      <c r="M60" s="16"/>
      <c r="N60" s="16"/>
      <c r="O60" s="16"/>
      <c r="P60" s="16"/>
      <c r="Q60" s="16"/>
    </row>
    <row r="61" spans="1:24" ht="15.6" x14ac:dyDescent="0.3">
      <c r="A61" s="2" t="s">
        <v>123</v>
      </c>
      <c r="B61" s="2" t="s">
        <v>124</v>
      </c>
      <c r="C61" s="3" t="s">
        <v>125</v>
      </c>
      <c r="D61" s="107" t="s">
        <v>126</v>
      </c>
      <c r="E61" s="108"/>
      <c r="F61" s="108"/>
      <c r="G61" s="108"/>
      <c r="H61" s="108"/>
      <c r="I61" s="109" t="s">
        <v>25</v>
      </c>
      <c r="J61" s="109" t="s">
        <v>26</v>
      </c>
      <c r="K61" s="109" t="s">
        <v>28</v>
      </c>
      <c r="L61" s="109" t="s">
        <v>27</v>
      </c>
      <c r="M61" s="5" t="s">
        <v>0</v>
      </c>
      <c r="N61" s="4" t="s">
        <v>2</v>
      </c>
      <c r="O61" s="19" t="s">
        <v>3</v>
      </c>
      <c r="P61" s="6" t="s">
        <v>4</v>
      </c>
      <c r="Q61" s="5" t="s">
        <v>5</v>
      </c>
    </row>
    <row r="62" spans="1:24" ht="15.6" x14ac:dyDescent="0.3">
      <c r="A62" s="7"/>
      <c r="B62" s="7"/>
      <c r="C62" s="8"/>
      <c r="D62" s="9" t="s">
        <v>127</v>
      </c>
      <c r="E62" s="9" t="s">
        <v>128</v>
      </c>
      <c r="F62" s="9" t="s">
        <v>129</v>
      </c>
      <c r="G62" s="9" t="s">
        <v>130</v>
      </c>
      <c r="H62" s="9" t="s">
        <v>131</v>
      </c>
      <c r="I62" s="110"/>
      <c r="J62" s="110"/>
      <c r="K62" s="110"/>
      <c r="L62" s="110"/>
      <c r="M62" s="10" t="s">
        <v>1</v>
      </c>
      <c r="N62" s="11" t="s">
        <v>26</v>
      </c>
      <c r="O62" s="20" t="s">
        <v>51</v>
      </c>
      <c r="P62" s="12" t="s">
        <v>52</v>
      </c>
      <c r="Q62" s="10" t="s">
        <v>6</v>
      </c>
    </row>
    <row r="63" spans="1:24" ht="15.6" x14ac:dyDescent="0.3">
      <c r="A63" s="2" t="s">
        <v>132</v>
      </c>
      <c r="B63" s="1" t="s">
        <v>137</v>
      </c>
      <c r="C63" s="1" t="s">
        <v>196</v>
      </c>
      <c r="D63" s="17">
        <v>24649306.023999996</v>
      </c>
      <c r="E63" s="17">
        <v>26388463.711999997</v>
      </c>
      <c r="F63" s="17">
        <v>25474317.656000007</v>
      </c>
      <c r="G63" s="17">
        <v>25889710.648000002</v>
      </c>
      <c r="H63" s="17">
        <v>21383235.272000007</v>
      </c>
      <c r="I63" s="1">
        <v>25600449.510000002</v>
      </c>
      <c r="J63" s="1">
        <v>-16.473203864458213</v>
      </c>
      <c r="K63" s="1">
        <v>-5.1876095222967491</v>
      </c>
      <c r="L63" s="1">
        <v>-11.285594342161463</v>
      </c>
      <c r="M63" s="31">
        <v>-12.010300000000001</v>
      </c>
      <c r="N63" s="1">
        <f>M63+K63</f>
        <v>-17.197909522296751</v>
      </c>
      <c r="O63" s="66">
        <f>I63+((N63*I63)/100)</f>
        <v>21197707.365968939</v>
      </c>
      <c r="P63" s="17">
        <f>H63</f>
        <v>21383235.272000007</v>
      </c>
      <c r="Q63" s="1">
        <f>-((O63-H63)/H63)*100</f>
        <v>0.86763253395058271</v>
      </c>
      <c r="V63" s="47">
        <f>(O63-P63)</f>
        <v>-185527.90603106841</v>
      </c>
    </row>
    <row r="64" spans="1:24" ht="15.6" x14ac:dyDescent="0.3">
      <c r="A64" s="7"/>
      <c r="B64" s="1" t="s">
        <v>138</v>
      </c>
      <c r="C64" s="1" t="s">
        <v>197</v>
      </c>
      <c r="D64" s="17">
        <v>20767779.824000008</v>
      </c>
      <c r="E64" s="17">
        <v>29123880.240000013</v>
      </c>
      <c r="F64" s="17">
        <v>29726540.503999997</v>
      </c>
      <c r="G64" s="17">
        <v>29297503.66399999</v>
      </c>
      <c r="H64" s="17">
        <v>23369011.471999992</v>
      </c>
      <c r="I64" s="1">
        <v>27228926.058000002</v>
      </c>
      <c r="J64" s="1">
        <v>-14.175787094129433</v>
      </c>
      <c r="K64" s="1">
        <v>-4.9532392575701598</v>
      </c>
      <c r="L64" s="1">
        <v>-9.2225478365592721</v>
      </c>
      <c r="M64" s="31">
        <v>-6</v>
      </c>
      <c r="N64" s="1">
        <f t="shared" ref="N64:N76" si="18">M64+K64</f>
        <v>-10.953239257570161</v>
      </c>
      <c r="O64" s="66">
        <f t="shared" ref="O64:O76" si="19">I64+((N64*I64)/100)</f>
        <v>24246476.639600396</v>
      </c>
      <c r="P64" s="17">
        <f t="shared" ref="P64:P76" si="20">H64</f>
        <v>23369011.471999992</v>
      </c>
      <c r="Q64" s="1">
        <f>((O64-H64)/H64)*100</f>
        <v>3.7548236417777248</v>
      </c>
      <c r="V64" s="47">
        <f t="shared" ref="V64:V76" si="21">(O64-P64)</f>
        <v>877465.16760040447</v>
      </c>
    </row>
    <row r="65" spans="1:24" ht="15.6" x14ac:dyDescent="0.3">
      <c r="A65" s="2" t="s">
        <v>133</v>
      </c>
      <c r="B65" s="1" t="s">
        <v>139</v>
      </c>
      <c r="C65" s="1" t="s">
        <v>198</v>
      </c>
      <c r="D65" s="17">
        <v>22208042.696000002</v>
      </c>
      <c r="E65" s="17">
        <v>28933956.82399999</v>
      </c>
      <c r="F65" s="17">
        <v>29751614.272000015</v>
      </c>
      <c r="G65" s="17">
        <v>22312681.199999999</v>
      </c>
      <c r="H65" s="17">
        <v>20658324.559999991</v>
      </c>
      <c r="I65" s="1">
        <v>25801573.748000003</v>
      </c>
      <c r="J65" s="1">
        <v>-19.933858446904576</v>
      </c>
      <c r="K65" s="1">
        <v>-6.2290872305821283</v>
      </c>
      <c r="L65" s="1">
        <v>-13.704771216322449</v>
      </c>
      <c r="M65" s="1">
        <v>0</v>
      </c>
      <c r="N65" s="1">
        <f t="shared" si="18"/>
        <v>-6.2290872305821283</v>
      </c>
      <c r="O65" s="66">
        <f t="shared" si="19"/>
        <v>24194371.212374106</v>
      </c>
      <c r="P65" s="17">
        <f t="shared" si="20"/>
        <v>20658324.559999991</v>
      </c>
      <c r="Q65" s="1">
        <f>((O65-H65)/H65)*100</f>
        <v>17.116812363481021</v>
      </c>
      <c r="V65" s="47">
        <f t="shared" si="21"/>
        <v>3536046.6523741148</v>
      </c>
    </row>
    <row r="66" spans="1:24" ht="15.6" x14ac:dyDescent="0.3">
      <c r="A66" s="13"/>
      <c r="B66" s="1" t="s">
        <v>140</v>
      </c>
      <c r="C66" s="1" t="s">
        <v>199</v>
      </c>
      <c r="D66" s="17">
        <v>27025283.271999992</v>
      </c>
      <c r="E66" s="17">
        <v>21083587.744000003</v>
      </c>
      <c r="F66" s="17">
        <v>28915431.056000009</v>
      </c>
      <c r="G66" s="17">
        <v>29089796.352000002</v>
      </c>
      <c r="H66" s="17">
        <v>23414288.264000002</v>
      </c>
      <c r="I66" s="1">
        <v>26528524.605999999</v>
      </c>
      <c r="J66" s="1">
        <v>-11.739199176179005</v>
      </c>
      <c r="K66" s="1">
        <v>-1.6861633723729623</v>
      </c>
      <c r="L66" s="1">
        <v>-10.053035803806043</v>
      </c>
      <c r="M66" s="30">
        <v>-9</v>
      </c>
      <c r="N66" s="1">
        <f t="shared" si="18"/>
        <v>-10.686163372372963</v>
      </c>
      <c r="O66" s="66">
        <f t="shared" si="19"/>
        <v>23693643.126322679</v>
      </c>
      <c r="P66" s="17">
        <f t="shared" si="20"/>
        <v>23414288.264000002</v>
      </c>
      <c r="Q66" s="1">
        <f>((O66-H66)/H66)*100</f>
        <v>1.193095682315449</v>
      </c>
      <c r="V66" s="47">
        <f t="shared" si="21"/>
        <v>279354.86232267693</v>
      </c>
    </row>
    <row r="67" spans="1:24" ht="15.6" x14ac:dyDescent="0.3">
      <c r="A67" s="13"/>
      <c r="B67" s="1" t="s">
        <v>141</v>
      </c>
      <c r="C67" s="1" t="s">
        <v>200</v>
      </c>
      <c r="D67" s="17">
        <v>23272361.783999994</v>
      </c>
      <c r="E67" s="17">
        <v>30686317.911999989</v>
      </c>
      <c r="F67" s="17">
        <v>29710821.192000005</v>
      </c>
      <c r="G67" s="17">
        <v>29906453.991999999</v>
      </c>
      <c r="H67" s="17">
        <v>23798220.599999998</v>
      </c>
      <c r="I67" s="1">
        <v>28393988.719999995</v>
      </c>
      <c r="J67" s="1">
        <v>-16.18570805715245</v>
      </c>
      <c r="K67" s="1">
        <v>-4.518311150841698</v>
      </c>
      <c r="L67" s="1">
        <v>-11.667396906310753</v>
      </c>
      <c r="M67" s="31">
        <v>-9</v>
      </c>
      <c r="N67" s="1">
        <f t="shared" si="18"/>
        <v>-13.518311150841697</v>
      </c>
      <c r="O67" s="66">
        <f t="shared" si="19"/>
        <v>24555600.9766955</v>
      </c>
      <c r="P67" s="17">
        <f t="shared" si="20"/>
        <v>23798220.599999998</v>
      </c>
      <c r="Q67" s="1">
        <f>((O67-H67)/H67)*100</f>
        <v>3.1825084296239465</v>
      </c>
      <c r="V67" s="47">
        <f t="shared" si="21"/>
        <v>757380.37669550255</v>
      </c>
    </row>
    <row r="68" spans="1:24" ht="15.6" x14ac:dyDescent="0.3">
      <c r="A68" s="13"/>
      <c r="B68" s="1" t="s">
        <v>142</v>
      </c>
      <c r="C68" s="1" t="s">
        <v>201</v>
      </c>
      <c r="D68" s="17">
        <v>27210185.296000004</v>
      </c>
      <c r="E68" s="17">
        <v>27031164.551999997</v>
      </c>
      <c r="F68" s="17">
        <v>27719443.167999998</v>
      </c>
      <c r="G68" s="17">
        <v>27294018.752000004</v>
      </c>
      <c r="H68" s="17">
        <v>25703679.503999997</v>
      </c>
      <c r="I68" s="1">
        <v>27313702.942000002</v>
      </c>
      <c r="J68" s="1">
        <v>-5.894563038262703</v>
      </c>
      <c r="K68" s="1">
        <v>-2.1361635756669308</v>
      </c>
      <c r="L68" s="1">
        <v>-3.7583994625957722</v>
      </c>
      <c r="M68" s="31">
        <v>-4.5</v>
      </c>
      <c r="N68" s="1">
        <f t="shared" si="18"/>
        <v>-6.6361635756669308</v>
      </c>
      <c r="O68" s="66">
        <f t="shared" si="19"/>
        <v>25501120.936197132</v>
      </c>
      <c r="P68" s="17">
        <f t="shared" si="20"/>
        <v>25703679.503999997</v>
      </c>
      <c r="Q68" s="1">
        <f>-((O68-H68)/H68)*100</f>
        <v>0.78805280688059842</v>
      </c>
      <c r="V68" s="47">
        <f t="shared" si="21"/>
        <v>-202558.56780286506</v>
      </c>
    </row>
    <row r="69" spans="1:24" ht="15.6" x14ac:dyDescent="0.3">
      <c r="A69" s="13"/>
      <c r="B69" s="1" t="s">
        <v>143</v>
      </c>
      <c r="C69" s="1" t="s">
        <v>202</v>
      </c>
      <c r="D69" s="17">
        <v>28152490.67200001</v>
      </c>
      <c r="E69" s="17">
        <v>24068160.223999988</v>
      </c>
      <c r="F69" s="17">
        <v>21402954.399999991</v>
      </c>
      <c r="G69" s="17">
        <v>19347440.591999996</v>
      </c>
      <c r="H69" s="17">
        <v>18556039.552000005</v>
      </c>
      <c r="I69" s="1">
        <v>23242761.471999995</v>
      </c>
      <c r="J69" s="1">
        <v>-20.164221560531754</v>
      </c>
      <c r="K69" s="1">
        <v>-4.5612356338052029</v>
      </c>
      <c r="L69" s="1">
        <v>-15.60298592672655</v>
      </c>
      <c r="M69" s="31">
        <v>-6</v>
      </c>
      <c r="N69" s="1">
        <f t="shared" si="18"/>
        <v>-10.561235633805204</v>
      </c>
      <c r="O69" s="66">
        <f t="shared" si="19"/>
        <v>20788038.665138785</v>
      </c>
      <c r="P69" s="17">
        <f t="shared" si="20"/>
        <v>18556039.552000005</v>
      </c>
      <c r="Q69" s="1">
        <f t="shared" ref="Q69:Q76" si="22">((O69-H69)/H69)*100</f>
        <v>12.028423990388676</v>
      </c>
      <c r="V69" s="47">
        <f t="shared" si="21"/>
        <v>2231999.11313878</v>
      </c>
    </row>
    <row r="70" spans="1:24" ht="15.6" x14ac:dyDescent="0.3">
      <c r="A70" s="13"/>
      <c r="B70" s="1" t="s">
        <v>144</v>
      </c>
      <c r="C70" s="1" t="s">
        <v>203</v>
      </c>
      <c r="D70" s="17">
        <v>24068160.223999988</v>
      </c>
      <c r="E70" s="17">
        <v>21402954.399999991</v>
      </c>
      <c r="F70" s="17">
        <v>19347440.591999996</v>
      </c>
      <c r="G70" s="17">
        <v>18556039.552000005</v>
      </c>
      <c r="H70" s="17">
        <v>20061147.615999997</v>
      </c>
      <c r="I70" s="1">
        <v>20843648.691999994</v>
      </c>
      <c r="J70" s="1">
        <v>-3.7541463472291654</v>
      </c>
      <c r="K70" s="1">
        <v>-2.2169826982039371</v>
      </c>
      <c r="L70" s="1">
        <v>-1.5371636490252283</v>
      </c>
      <c r="M70" s="31">
        <v>0</v>
      </c>
      <c r="N70" s="1">
        <f t="shared" si="18"/>
        <v>-2.2169826982039371</v>
      </c>
      <c r="O70" s="66">
        <f t="shared" si="19"/>
        <v>20381548.606823944</v>
      </c>
      <c r="P70" s="17">
        <f t="shared" si="20"/>
        <v>20061147.615999997</v>
      </c>
      <c r="Q70" s="1">
        <f t="shared" si="22"/>
        <v>1.5971219441524247</v>
      </c>
      <c r="V70" s="47">
        <f t="shared" si="21"/>
        <v>320400.99082394689</v>
      </c>
    </row>
    <row r="71" spans="1:24" ht="15.6" x14ac:dyDescent="0.3">
      <c r="A71" s="2" t="s">
        <v>134</v>
      </c>
      <c r="B71" s="1" t="s">
        <v>145</v>
      </c>
      <c r="C71" s="1" t="s">
        <v>204</v>
      </c>
      <c r="D71" s="17">
        <v>26929203.224000007</v>
      </c>
      <c r="E71" s="17">
        <v>26205002.327999994</v>
      </c>
      <c r="F71" s="17">
        <v>27649232.464000002</v>
      </c>
      <c r="G71" s="17">
        <v>28487017.607999995</v>
      </c>
      <c r="H71" s="17">
        <v>22518592.687999986</v>
      </c>
      <c r="I71" s="1">
        <v>27317613.905999999</v>
      </c>
      <c r="J71" s="1">
        <v>-17.567497785544013</v>
      </c>
      <c r="K71" s="1">
        <v>-8.106170516711904</v>
      </c>
      <c r="L71" s="1">
        <v>-9.4613272688321093</v>
      </c>
      <c r="M71" s="31">
        <v>-4.5</v>
      </c>
      <c r="N71" s="1">
        <f t="shared" si="18"/>
        <v>-12.606170516711904</v>
      </c>
      <c r="O71" s="66">
        <f t="shared" si="19"/>
        <v>23873908.915912636</v>
      </c>
      <c r="P71" s="17">
        <f t="shared" si="20"/>
        <v>22518592.687999986</v>
      </c>
      <c r="Q71" s="1">
        <f t="shared" si="22"/>
        <v>6.0186542147231465</v>
      </c>
      <c r="V71" s="47">
        <f t="shared" si="21"/>
        <v>1355316.2279126495</v>
      </c>
    </row>
    <row r="72" spans="1:24" ht="15.6" x14ac:dyDescent="0.3">
      <c r="A72" s="13"/>
      <c r="B72" s="1" t="s">
        <v>146</v>
      </c>
      <c r="C72" s="1" t="s">
        <v>205</v>
      </c>
      <c r="D72" s="17">
        <v>23185442.671999995</v>
      </c>
      <c r="E72" s="17">
        <v>30488212.287999984</v>
      </c>
      <c r="F72" s="17">
        <v>31284871.175999995</v>
      </c>
      <c r="G72" s="17">
        <v>30880025.823999994</v>
      </c>
      <c r="H72" s="17">
        <v>25094944.103999987</v>
      </c>
      <c r="I72" s="1">
        <v>28959637.989999995</v>
      </c>
      <c r="J72" s="1">
        <v>-13.345104270068978</v>
      </c>
      <c r="K72" s="1">
        <v>-6.5666471610718533</v>
      </c>
      <c r="L72" s="1">
        <v>-6.7784571089971246</v>
      </c>
      <c r="M72" s="31">
        <v>-4.8234000000000004</v>
      </c>
      <c r="N72" s="1">
        <f t="shared" si="18"/>
        <v>-11.390047161071854</v>
      </c>
      <c r="O72" s="66">
        <f t="shared" si="19"/>
        <v>25661121.565263316</v>
      </c>
      <c r="P72" s="17">
        <f t="shared" si="20"/>
        <v>25094944.103999987</v>
      </c>
      <c r="Q72" s="1">
        <f t="shared" si="22"/>
        <v>2.2561415515290326</v>
      </c>
      <c r="V72" s="47">
        <f t="shared" si="21"/>
        <v>566177.46126332879</v>
      </c>
    </row>
    <row r="73" spans="1:24" ht="15.6" x14ac:dyDescent="0.3">
      <c r="A73" s="13"/>
      <c r="B73" s="1" t="s">
        <v>147</v>
      </c>
      <c r="C73" s="1" t="s">
        <v>175</v>
      </c>
      <c r="D73" s="17">
        <v>33735338.095999993</v>
      </c>
      <c r="E73" s="17">
        <v>32642074.944000002</v>
      </c>
      <c r="F73" s="17">
        <v>31107022.223999999</v>
      </c>
      <c r="G73" s="17">
        <v>22935017.631999999</v>
      </c>
      <c r="H73" s="17">
        <v>23465166.680000011</v>
      </c>
      <c r="I73" s="1">
        <v>30104863.223999999</v>
      </c>
      <c r="J73" s="1">
        <v>-22.055229065803342</v>
      </c>
      <c r="K73" s="1">
        <v>-8.7823477538703028</v>
      </c>
      <c r="L73" s="1">
        <v>-13.272881311933039</v>
      </c>
      <c r="M73" s="31">
        <v>-4.5</v>
      </c>
      <c r="N73" s="1">
        <f t="shared" si="18"/>
        <v>-13.282347753870303</v>
      </c>
      <c r="O73" s="66">
        <f t="shared" si="19"/>
        <v>26106230.599761307</v>
      </c>
      <c r="P73" s="17">
        <f t="shared" si="20"/>
        <v>23465166.680000011</v>
      </c>
      <c r="Q73" s="1">
        <f t="shared" si="22"/>
        <v>11.255253183487273</v>
      </c>
      <c r="V73" s="47">
        <f t="shared" si="21"/>
        <v>2641063.9197612964</v>
      </c>
    </row>
    <row r="74" spans="1:24" ht="15.6" x14ac:dyDescent="0.3">
      <c r="A74" s="2" t="s">
        <v>135</v>
      </c>
      <c r="B74" s="21" t="s">
        <v>148</v>
      </c>
      <c r="C74" s="1" t="s">
        <v>206</v>
      </c>
      <c r="D74" s="17">
        <v>26571839.079999998</v>
      </c>
      <c r="E74" s="17">
        <v>21378547.239999987</v>
      </c>
      <c r="F74" s="17">
        <v>28930032.399999987</v>
      </c>
      <c r="G74" s="17">
        <v>29008866.071999986</v>
      </c>
      <c r="H74" s="17">
        <v>23458005.864</v>
      </c>
      <c r="I74" s="1">
        <v>26472321.197999988</v>
      </c>
      <c r="J74" s="1">
        <v>-11.386668027538599</v>
      </c>
      <c r="K74" s="1">
        <v>-1.7419395877920738</v>
      </c>
      <c r="L74" s="1">
        <v>-9.644728439746526</v>
      </c>
      <c r="M74" s="31">
        <v>0</v>
      </c>
      <c r="N74" s="1">
        <f t="shared" si="18"/>
        <v>-1.7419395877920738</v>
      </c>
      <c r="O74" s="66">
        <f t="shared" si="19"/>
        <v>26011189.355244555</v>
      </c>
      <c r="P74" s="17">
        <f t="shared" si="20"/>
        <v>23458005.864</v>
      </c>
      <c r="Q74" s="1">
        <f t="shared" si="22"/>
        <v>10.884060248116896</v>
      </c>
      <c r="V74" s="47">
        <f t="shared" si="21"/>
        <v>2553183.4912445545</v>
      </c>
    </row>
    <row r="75" spans="1:24" ht="15.6" x14ac:dyDescent="0.3">
      <c r="A75" s="13" t="s">
        <v>136</v>
      </c>
      <c r="B75" s="21" t="s">
        <v>149</v>
      </c>
      <c r="C75" s="1" t="s">
        <v>207</v>
      </c>
      <c r="D75" s="17">
        <v>27701895.935999997</v>
      </c>
      <c r="E75" s="17">
        <v>27860853.456</v>
      </c>
      <c r="F75" s="17">
        <v>25524164.023999993</v>
      </c>
      <c r="G75" s="17">
        <v>26210528.944000002</v>
      </c>
      <c r="H75" s="17">
        <v>20598511.239999998</v>
      </c>
      <c r="I75" s="1">
        <v>26824360.59</v>
      </c>
      <c r="J75" s="1">
        <v>-23.209684082165857</v>
      </c>
      <c r="K75" s="1">
        <v>-11.902688056370025</v>
      </c>
      <c r="L75" s="1">
        <v>-11.306996025795833</v>
      </c>
      <c r="M75" s="31">
        <v>0</v>
      </c>
      <c r="N75" s="1">
        <f t="shared" si="18"/>
        <v>-11.902688056370025</v>
      </c>
      <c r="O75" s="66">
        <f t="shared" si="19"/>
        <v>23631540.625856444</v>
      </c>
      <c r="P75" s="17">
        <f t="shared" si="20"/>
        <v>20598511.239999998</v>
      </c>
      <c r="Q75" s="1">
        <f t="shared" si="22"/>
        <v>14.724507759408567</v>
      </c>
      <c r="V75" s="47">
        <f t="shared" si="21"/>
        <v>3033029.3858564459</v>
      </c>
    </row>
    <row r="76" spans="1:24" ht="15.6" x14ac:dyDescent="0.3">
      <c r="A76" s="13"/>
      <c r="B76" s="22" t="s">
        <v>29</v>
      </c>
      <c r="C76" s="1" t="s">
        <v>208</v>
      </c>
      <c r="D76" s="17">
        <v>32850749.392000001</v>
      </c>
      <c r="E76" s="17">
        <v>26168015.472000003</v>
      </c>
      <c r="F76" s="17">
        <v>25505982.400000006</v>
      </c>
      <c r="G76" s="17">
        <v>30188564.856000021</v>
      </c>
      <c r="H76" s="17">
        <v>23319885.640000015</v>
      </c>
      <c r="I76" s="1">
        <v>28678328.030000009</v>
      </c>
      <c r="J76" s="1">
        <v>-18.684640137997583</v>
      </c>
      <c r="K76" s="1">
        <v>-2.7956006578741195</v>
      </c>
      <c r="L76" s="1">
        <v>-15.889039480123463</v>
      </c>
      <c r="M76" s="31">
        <v>-6</v>
      </c>
      <c r="N76" s="1">
        <f t="shared" si="18"/>
        <v>-8.7956006578741199</v>
      </c>
      <c r="O76" s="66">
        <f t="shared" si="19"/>
        <v>26155896.821126029</v>
      </c>
      <c r="P76" s="17">
        <f t="shared" si="20"/>
        <v>23319885.640000015</v>
      </c>
      <c r="Q76" s="1">
        <f t="shared" si="22"/>
        <v>12.161342576489631</v>
      </c>
      <c r="V76" s="47">
        <f t="shared" si="21"/>
        <v>2836011.1811260134</v>
      </c>
    </row>
    <row r="77" spans="1:24" ht="15.6" x14ac:dyDescent="0.3">
      <c r="A77" s="7"/>
      <c r="B77" s="21"/>
      <c r="C77" s="1"/>
      <c r="D77" s="17"/>
      <c r="E77" s="17"/>
      <c r="F77" s="17"/>
      <c r="G77" s="17"/>
      <c r="H77" s="17"/>
      <c r="I77" s="1"/>
      <c r="J77" s="1"/>
      <c r="K77" s="1"/>
      <c r="L77" s="1"/>
      <c r="M77" s="1" t="s">
        <v>62</v>
      </c>
      <c r="N77" s="1"/>
      <c r="O77" s="1"/>
      <c r="P77" s="1" t="s">
        <v>35</v>
      </c>
      <c r="Q77" s="1">
        <f>SUM(Q63:Q76)/14</f>
        <v>6.9877450661660694</v>
      </c>
      <c r="R77" s="36" t="s">
        <v>58</v>
      </c>
      <c r="S77">
        <f>SQRT(SUMXMY2(O63:O76, P63:P76) / COUNT(P63:P76))</f>
        <v>1926855.1890499103</v>
      </c>
      <c r="T77" s="36" t="s">
        <v>59</v>
      </c>
      <c r="U77" s="36">
        <f>RSQ(O63:O76,P63:P76)</f>
        <v>0.622563996283784</v>
      </c>
      <c r="V77" s="36" t="s">
        <v>60</v>
      </c>
      <c r="W77" s="36">
        <f t="array" ref="W77">AVERAGE(ABS(V63:V76))</f>
        <v>1526822.5217109749</v>
      </c>
      <c r="X77" s="36" cm="1">
        <f t="array" ref="X77">SUMPRODUCT(ABS(O63:O76 - P63:P76)) / COUNT(O63:O76)</f>
        <v>1526822.5217109749</v>
      </c>
    </row>
    <row r="79" spans="1:24" ht="15.6" x14ac:dyDescent="0.3">
      <c r="A79" s="34" t="s">
        <v>212</v>
      </c>
      <c r="B79" s="16"/>
      <c r="C79" s="16"/>
      <c r="D79" s="33"/>
      <c r="E79" s="33"/>
      <c r="F79" s="33"/>
      <c r="G79" s="33"/>
      <c r="H79" s="33"/>
      <c r="I79" s="16"/>
      <c r="J79" s="16"/>
      <c r="K79" s="16"/>
      <c r="L79" s="16"/>
      <c r="M79" s="16"/>
      <c r="N79" s="16"/>
      <c r="O79" s="16"/>
      <c r="P79" s="16"/>
      <c r="Q79" s="16"/>
    </row>
    <row r="80" spans="1:24" ht="15.6" x14ac:dyDescent="0.3">
      <c r="A80" s="2" t="s">
        <v>123</v>
      </c>
      <c r="B80" s="2" t="s">
        <v>124</v>
      </c>
      <c r="C80" s="3" t="s">
        <v>125</v>
      </c>
      <c r="D80" s="107" t="s">
        <v>126</v>
      </c>
      <c r="E80" s="108"/>
      <c r="F80" s="108"/>
      <c r="G80" s="108"/>
      <c r="H80" s="108"/>
      <c r="I80" s="109" t="s">
        <v>25</v>
      </c>
      <c r="J80" s="109" t="s">
        <v>26</v>
      </c>
      <c r="K80" s="109" t="s">
        <v>28</v>
      </c>
      <c r="L80" s="109" t="s">
        <v>27</v>
      </c>
      <c r="M80" s="5" t="s">
        <v>0</v>
      </c>
      <c r="N80" s="4" t="s">
        <v>2</v>
      </c>
      <c r="O80" s="19" t="s">
        <v>3</v>
      </c>
      <c r="P80" s="6" t="s">
        <v>4</v>
      </c>
      <c r="Q80" s="5" t="s">
        <v>5</v>
      </c>
    </row>
    <row r="81" spans="1:24" ht="15.6" x14ac:dyDescent="0.3">
      <c r="A81" s="7"/>
      <c r="B81" s="7"/>
      <c r="C81" s="8"/>
      <c r="D81" s="9" t="s">
        <v>127</v>
      </c>
      <c r="E81" s="9" t="s">
        <v>128</v>
      </c>
      <c r="F81" s="9" t="s">
        <v>129</v>
      </c>
      <c r="G81" s="9" t="s">
        <v>130</v>
      </c>
      <c r="H81" s="9" t="s">
        <v>131</v>
      </c>
      <c r="I81" s="110"/>
      <c r="J81" s="110"/>
      <c r="K81" s="110"/>
      <c r="L81" s="110"/>
      <c r="M81" s="10" t="s">
        <v>1</v>
      </c>
      <c r="N81" s="11" t="s">
        <v>26</v>
      </c>
      <c r="O81" s="20" t="s">
        <v>51</v>
      </c>
      <c r="P81" s="12" t="s">
        <v>52</v>
      </c>
      <c r="Q81" s="10" t="s">
        <v>6</v>
      </c>
    </row>
    <row r="82" spans="1:24" ht="15.6" x14ac:dyDescent="0.3">
      <c r="A82" s="2" t="s">
        <v>132</v>
      </c>
      <c r="B82" s="1" t="s">
        <v>137</v>
      </c>
      <c r="C82" s="1" t="s">
        <v>196</v>
      </c>
      <c r="D82" s="17">
        <v>24649306.023999996</v>
      </c>
      <c r="E82" s="17">
        <v>26388463.711999997</v>
      </c>
      <c r="F82" s="17">
        <v>25474317.656000007</v>
      </c>
      <c r="G82" s="17">
        <v>25889710.648000002</v>
      </c>
      <c r="H82" s="17">
        <v>21383235.272000007</v>
      </c>
      <c r="I82" s="1">
        <v>25600449.510000002</v>
      </c>
      <c r="J82" s="1">
        <v>-16.473203864458213</v>
      </c>
      <c r="K82" s="1">
        <v>-5.1876095222967491</v>
      </c>
      <c r="L82" s="1">
        <v>-11.285594342161463</v>
      </c>
      <c r="M82" s="31">
        <v>-11.9009</v>
      </c>
      <c r="N82" s="1">
        <f>M82+K82</f>
        <v>-17.08850952229675</v>
      </c>
      <c r="O82" s="66">
        <f>I82+((N82*I82)/100)</f>
        <v>21225714.257732879</v>
      </c>
      <c r="P82" s="17">
        <f>H82</f>
        <v>21383235.272000007</v>
      </c>
      <c r="Q82" s="1">
        <f>-((O82-H82)/H82)*100</f>
        <v>0.7366566016013103</v>
      </c>
      <c r="V82" s="47">
        <f>(O82-P82)</f>
        <v>-157521.01426712796</v>
      </c>
    </row>
    <row r="83" spans="1:24" ht="15.6" x14ac:dyDescent="0.3">
      <c r="A83" s="7"/>
      <c r="B83" s="1" t="s">
        <v>138</v>
      </c>
      <c r="C83" s="1" t="s">
        <v>197</v>
      </c>
      <c r="D83" s="17">
        <v>20767779.824000008</v>
      </c>
      <c r="E83" s="17">
        <v>29123880.240000013</v>
      </c>
      <c r="F83" s="17">
        <v>29726540.503999997</v>
      </c>
      <c r="G83" s="17">
        <v>29297503.66399999</v>
      </c>
      <c r="H83" s="17">
        <v>23369011.471999992</v>
      </c>
      <c r="I83" s="1">
        <v>27228926.058000002</v>
      </c>
      <c r="J83" s="1">
        <v>-14.175787094129433</v>
      </c>
      <c r="K83" s="1">
        <v>-4.9532392575701598</v>
      </c>
      <c r="L83" s="1">
        <v>-9.2225478365592721</v>
      </c>
      <c r="M83" s="31">
        <v>-6</v>
      </c>
      <c r="N83" s="1">
        <f t="shared" ref="N83:N95" si="23">M83+K83</f>
        <v>-10.953239257570161</v>
      </c>
      <c r="O83" s="66">
        <f t="shared" ref="O83:O95" si="24">I83+((N83*I83)/100)</f>
        <v>24246476.639600396</v>
      </c>
      <c r="P83" s="17">
        <f t="shared" ref="P83:P95" si="25">H83</f>
        <v>23369011.471999992</v>
      </c>
      <c r="Q83" s="1">
        <f>((O83-H83)/H83)*100</f>
        <v>3.7548236417777248</v>
      </c>
      <c r="V83" s="47">
        <f t="shared" ref="V83:V95" si="26">(O83-P83)</f>
        <v>877465.16760040447</v>
      </c>
    </row>
    <row r="84" spans="1:24" ht="15.6" x14ac:dyDescent="0.3">
      <c r="A84" s="2" t="s">
        <v>133</v>
      </c>
      <c r="B84" s="1" t="s">
        <v>139</v>
      </c>
      <c r="C84" s="1" t="s">
        <v>198</v>
      </c>
      <c r="D84" s="17">
        <v>22208042.696000002</v>
      </c>
      <c r="E84" s="17">
        <v>28933956.82399999</v>
      </c>
      <c r="F84" s="17">
        <v>29751614.272000015</v>
      </c>
      <c r="G84" s="17">
        <v>22312681.199999999</v>
      </c>
      <c r="H84" s="17">
        <v>20658324.559999991</v>
      </c>
      <c r="I84" s="1">
        <v>25801573.748000003</v>
      </c>
      <c r="J84" s="1">
        <v>-19.933858446904576</v>
      </c>
      <c r="K84" s="1">
        <v>-6.2290872305821283</v>
      </c>
      <c r="L84" s="1">
        <v>-13.704771216322449</v>
      </c>
      <c r="M84" s="1">
        <v>0</v>
      </c>
      <c r="N84" s="1">
        <f t="shared" si="23"/>
        <v>-6.2290872305821283</v>
      </c>
      <c r="O84" s="66">
        <f t="shared" si="24"/>
        <v>24194371.212374106</v>
      </c>
      <c r="P84" s="17">
        <f t="shared" si="25"/>
        <v>20658324.559999991</v>
      </c>
      <c r="Q84" s="1">
        <f>((O84-H84)/H84)*100</f>
        <v>17.116812363481021</v>
      </c>
      <c r="V84" s="47">
        <f t="shared" si="26"/>
        <v>3536046.6523741148</v>
      </c>
    </row>
    <row r="85" spans="1:24" ht="15.6" x14ac:dyDescent="0.3">
      <c r="A85" s="13"/>
      <c r="B85" s="1" t="s">
        <v>140</v>
      </c>
      <c r="C85" s="1" t="s">
        <v>199</v>
      </c>
      <c r="D85" s="17">
        <v>27025283.271999992</v>
      </c>
      <c r="E85" s="17">
        <v>21083587.744000003</v>
      </c>
      <c r="F85" s="17">
        <v>28915431.056000009</v>
      </c>
      <c r="G85" s="17">
        <v>29089796.352000002</v>
      </c>
      <c r="H85" s="17">
        <v>23414288.264000002</v>
      </c>
      <c r="I85" s="1">
        <v>26528524.605999999</v>
      </c>
      <c r="J85" s="1">
        <v>-11.739199176179005</v>
      </c>
      <c r="K85" s="1">
        <v>-1.6861633723729623</v>
      </c>
      <c r="L85" s="1">
        <v>-10.053035803806043</v>
      </c>
      <c r="M85" s="30">
        <v>-9</v>
      </c>
      <c r="N85" s="1">
        <f t="shared" si="23"/>
        <v>-10.686163372372963</v>
      </c>
      <c r="O85" s="66">
        <f t="shared" si="24"/>
        <v>23693643.126322679</v>
      </c>
      <c r="P85" s="17">
        <f t="shared" si="25"/>
        <v>23414288.264000002</v>
      </c>
      <c r="Q85" s="1">
        <f>((O85-H85)/H85)*100</f>
        <v>1.193095682315449</v>
      </c>
      <c r="V85" s="47">
        <f t="shared" si="26"/>
        <v>279354.86232267693</v>
      </c>
    </row>
    <row r="86" spans="1:24" ht="15.6" x14ac:dyDescent="0.3">
      <c r="A86" s="13"/>
      <c r="B86" s="1" t="s">
        <v>141</v>
      </c>
      <c r="C86" s="1" t="s">
        <v>200</v>
      </c>
      <c r="D86" s="17">
        <v>23272361.783999994</v>
      </c>
      <c r="E86" s="17">
        <v>30686317.911999989</v>
      </c>
      <c r="F86" s="17">
        <v>29710821.192000005</v>
      </c>
      <c r="G86" s="17">
        <v>29906453.991999999</v>
      </c>
      <c r="H86" s="17">
        <v>23798220.599999998</v>
      </c>
      <c r="I86" s="1">
        <v>28393988.719999995</v>
      </c>
      <c r="J86" s="1">
        <v>-16.18570805715245</v>
      </c>
      <c r="K86" s="1">
        <v>-4.518311150841698</v>
      </c>
      <c r="L86" s="1">
        <v>-11.667396906310753</v>
      </c>
      <c r="M86" s="31">
        <v>-9</v>
      </c>
      <c r="N86" s="1">
        <f t="shared" si="23"/>
        <v>-13.518311150841697</v>
      </c>
      <c r="O86" s="66">
        <f t="shared" si="24"/>
        <v>24555600.9766955</v>
      </c>
      <c r="P86" s="17">
        <f t="shared" si="25"/>
        <v>23798220.599999998</v>
      </c>
      <c r="Q86" s="1">
        <f>((O86-H86)/H86)*100</f>
        <v>3.1825084296239465</v>
      </c>
      <c r="V86" s="47">
        <f t="shared" si="26"/>
        <v>757380.37669550255</v>
      </c>
    </row>
    <row r="87" spans="1:24" ht="15.6" x14ac:dyDescent="0.3">
      <c r="A87" s="13"/>
      <c r="B87" s="1" t="s">
        <v>142</v>
      </c>
      <c r="C87" s="1" t="s">
        <v>201</v>
      </c>
      <c r="D87" s="17">
        <v>27210185.296000004</v>
      </c>
      <c r="E87" s="17">
        <v>27031164.551999997</v>
      </c>
      <c r="F87" s="17">
        <v>27719443.167999998</v>
      </c>
      <c r="G87" s="17">
        <v>27294018.752000004</v>
      </c>
      <c r="H87" s="17">
        <v>25703679.503999997</v>
      </c>
      <c r="I87" s="1">
        <v>27313702.942000002</v>
      </c>
      <c r="J87" s="1">
        <v>-5.894563038262703</v>
      </c>
      <c r="K87" s="1">
        <v>-2.1361635756669308</v>
      </c>
      <c r="L87" s="1">
        <v>-3.7583994625957722</v>
      </c>
      <c r="M87" s="31">
        <v>-4.5</v>
      </c>
      <c r="N87" s="1">
        <f t="shared" si="23"/>
        <v>-6.6361635756669308</v>
      </c>
      <c r="O87" s="66">
        <f t="shared" si="24"/>
        <v>25501120.936197132</v>
      </c>
      <c r="P87" s="17">
        <f t="shared" si="25"/>
        <v>25703679.503999997</v>
      </c>
      <c r="Q87" s="1">
        <f>-((O87-H87)/H87)*100</f>
        <v>0.78805280688059842</v>
      </c>
      <c r="V87" s="47">
        <f t="shared" si="26"/>
        <v>-202558.56780286506</v>
      </c>
    </row>
    <row r="88" spans="1:24" ht="15.6" x14ac:dyDescent="0.3">
      <c r="A88" s="13"/>
      <c r="B88" s="1" t="s">
        <v>143</v>
      </c>
      <c r="C88" s="1" t="s">
        <v>202</v>
      </c>
      <c r="D88" s="17">
        <v>28152490.67200001</v>
      </c>
      <c r="E88" s="17">
        <v>24068160.223999988</v>
      </c>
      <c r="F88" s="17">
        <v>21402954.399999991</v>
      </c>
      <c r="G88" s="17">
        <v>19347440.591999996</v>
      </c>
      <c r="H88" s="17">
        <v>18556039.552000005</v>
      </c>
      <c r="I88" s="1">
        <v>23242761.471999995</v>
      </c>
      <c r="J88" s="1">
        <v>-20.164221560531754</v>
      </c>
      <c r="K88" s="1">
        <v>-4.5612356338052029</v>
      </c>
      <c r="L88" s="1">
        <v>-15.60298592672655</v>
      </c>
      <c r="M88" s="31">
        <v>-6</v>
      </c>
      <c r="N88" s="1">
        <f t="shared" si="23"/>
        <v>-10.561235633805204</v>
      </c>
      <c r="O88" s="66">
        <f t="shared" si="24"/>
        <v>20788038.665138785</v>
      </c>
      <c r="P88" s="17">
        <f t="shared" si="25"/>
        <v>18556039.552000005</v>
      </c>
      <c r="Q88" s="1">
        <f t="shared" ref="Q88:Q95" si="27">((O88-H88)/H88)*100</f>
        <v>12.028423990388676</v>
      </c>
      <c r="V88" s="47">
        <f t="shared" si="26"/>
        <v>2231999.11313878</v>
      </c>
    </row>
    <row r="89" spans="1:24" ht="15.6" x14ac:dyDescent="0.3">
      <c r="A89" s="13"/>
      <c r="B89" s="1" t="s">
        <v>144</v>
      </c>
      <c r="C89" s="1" t="s">
        <v>203</v>
      </c>
      <c r="D89" s="17">
        <v>24068160.223999988</v>
      </c>
      <c r="E89" s="17">
        <v>21402954.399999991</v>
      </c>
      <c r="F89" s="17">
        <v>19347440.591999996</v>
      </c>
      <c r="G89" s="17">
        <v>18556039.552000005</v>
      </c>
      <c r="H89" s="17">
        <v>20061147.615999997</v>
      </c>
      <c r="I89" s="1">
        <v>20843648.691999994</v>
      </c>
      <c r="J89" s="1">
        <v>-3.7541463472291654</v>
      </c>
      <c r="K89" s="1">
        <v>-2.2169826982039371</v>
      </c>
      <c r="L89" s="1">
        <v>-1.5371636490252283</v>
      </c>
      <c r="M89" s="31">
        <v>0</v>
      </c>
      <c r="N89" s="1">
        <f t="shared" si="23"/>
        <v>-2.2169826982039371</v>
      </c>
      <c r="O89" s="66">
        <f t="shared" si="24"/>
        <v>20381548.606823944</v>
      </c>
      <c r="P89" s="17">
        <f t="shared" si="25"/>
        <v>20061147.615999997</v>
      </c>
      <c r="Q89" s="1">
        <f t="shared" si="27"/>
        <v>1.5971219441524247</v>
      </c>
      <c r="V89" s="47">
        <f t="shared" si="26"/>
        <v>320400.99082394689</v>
      </c>
    </row>
    <row r="90" spans="1:24" ht="15.6" x14ac:dyDescent="0.3">
      <c r="A90" s="2" t="s">
        <v>134</v>
      </c>
      <c r="B90" s="1" t="s">
        <v>145</v>
      </c>
      <c r="C90" s="1" t="s">
        <v>204</v>
      </c>
      <c r="D90" s="17">
        <v>26929203.224000007</v>
      </c>
      <c r="E90" s="17">
        <v>26205002.327999994</v>
      </c>
      <c r="F90" s="17">
        <v>27649232.464000002</v>
      </c>
      <c r="G90" s="17">
        <v>28487017.607999995</v>
      </c>
      <c r="H90" s="17">
        <v>22518592.687999986</v>
      </c>
      <c r="I90" s="1">
        <v>27317613.905999999</v>
      </c>
      <c r="J90" s="1">
        <v>-17.567497785544013</v>
      </c>
      <c r="K90" s="1">
        <v>-8.106170516711904</v>
      </c>
      <c r="L90" s="1">
        <v>-9.4613272688321093</v>
      </c>
      <c r="M90" s="31">
        <v>-4.5</v>
      </c>
      <c r="N90" s="1">
        <f t="shared" si="23"/>
        <v>-12.606170516711904</v>
      </c>
      <c r="O90" s="66">
        <f t="shared" si="24"/>
        <v>23873908.915912636</v>
      </c>
      <c r="P90" s="17">
        <f t="shared" si="25"/>
        <v>22518592.687999986</v>
      </c>
      <c r="Q90" s="1">
        <f t="shared" si="27"/>
        <v>6.0186542147231465</v>
      </c>
      <c r="V90" s="47">
        <f t="shared" si="26"/>
        <v>1355316.2279126495</v>
      </c>
    </row>
    <row r="91" spans="1:24" ht="15.6" x14ac:dyDescent="0.3">
      <c r="A91" s="13"/>
      <c r="B91" s="1" t="s">
        <v>146</v>
      </c>
      <c r="C91" s="1" t="s">
        <v>205</v>
      </c>
      <c r="D91" s="17">
        <v>23185442.671999995</v>
      </c>
      <c r="E91" s="17">
        <v>30488212.287999984</v>
      </c>
      <c r="F91" s="17">
        <v>31284871.175999995</v>
      </c>
      <c r="G91" s="17">
        <v>30880025.823999994</v>
      </c>
      <c r="H91" s="17">
        <v>25094944.103999987</v>
      </c>
      <c r="I91" s="1">
        <v>28959637.989999995</v>
      </c>
      <c r="J91" s="1">
        <v>-13.345104270068978</v>
      </c>
      <c r="K91" s="1">
        <v>-6.5666471610718533</v>
      </c>
      <c r="L91" s="1">
        <v>-6.7784571089971246</v>
      </c>
      <c r="M91" s="31">
        <v>-4.7640000000000002</v>
      </c>
      <c r="N91" s="1">
        <f t="shared" si="23"/>
        <v>-11.330647161071854</v>
      </c>
      <c r="O91" s="66">
        <f t="shared" si="24"/>
        <v>25678323.590229373</v>
      </c>
      <c r="P91" s="17">
        <f t="shared" si="25"/>
        <v>25094944.103999987</v>
      </c>
      <c r="Q91" s="1">
        <f t="shared" si="27"/>
        <v>2.3246893231230548</v>
      </c>
      <c r="V91" s="47">
        <f t="shared" si="26"/>
        <v>583379.48622938618</v>
      </c>
    </row>
    <row r="92" spans="1:24" ht="15.6" x14ac:dyDescent="0.3">
      <c r="A92" s="13"/>
      <c r="B92" s="1" t="s">
        <v>147</v>
      </c>
      <c r="C92" s="1" t="s">
        <v>175</v>
      </c>
      <c r="D92" s="17">
        <v>33735338.095999993</v>
      </c>
      <c r="E92" s="17">
        <v>32642074.944000002</v>
      </c>
      <c r="F92" s="17">
        <v>31107022.223999999</v>
      </c>
      <c r="G92" s="17">
        <v>22935017.631999999</v>
      </c>
      <c r="H92" s="17">
        <v>23465166.680000011</v>
      </c>
      <c r="I92" s="1">
        <v>30104863.223999999</v>
      </c>
      <c r="J92" s="1">
        <v>-22.055229065803342</v>
      </c>
      <c r="K92" s="1">
        <v>-8.7823477538703028</v>
      </c>
      <c r="L92" s="1">
        <v>-13.272881311933039</v>
      </c>
      <c r="M92" s="31">
        <v>-4.5</v>
      </c>
      <c r="N92" s="1">
        <f t="shared" si="23"/>
        <v>-13.282347753870303</v>
      </c>
      <c r="O92" s="66">
        <f t="shared" si="24"/>
        <v>26106230.599761307</v>
      </c>
      <c r="P92" s="17">
        <f t="shared" si="25"/>
        <v>23465166.680000011</v>
      </c>
      <c r="Q92" s="1">
        <f t="shared" si="27"/>
        <v>11.255253183487273</v>
      </c>
      <c r="V92" s="47">
        <f t="shared" si="26"/>
        <v>2641063.9197612964</v>
      </c>
    </row>
    <row r="93" spans="1:24" ht="15.6" x14ac:dyDescent="0.3">
      <c r="A93" s="2" t="s">
        <v>135</v>
      </c>
      <c r="B93" s="21" t="s">
        <v>148</v>
      </c>
      <c r="C93" s="1" t="s">
        <v>206</v>
      </c>
      <c r="D93" s="17">
        <v>26571839.079999998</v>
      </c>
      <c r="E93" s="17">
        <v>21378547.239999987</v>
      </c>
      <c r="F93" s="17">
        <v>28930032.399999987</v>
      </c>
      <c r="G93" s="17">
        <v>29008866.071999986</v>
      </c>
      <c r="H93" s="17">
        <v>23458005.864</v>
      </c>
      <c r="I93" s="1">
        <v>26472321.197999988</v>
      </c>
      <c r="J93" s="1">
        <v>-11.386668027538599</v>
      </c>
      <c r="K93" s="1">
        <v>-1.7419395877920738</v>
      </c>
      <c r="L93" s="1">
        <v>-9.644728439746526</v>
      </c>
      <c r="M93" s="31">
        <v>0</v>
      </c>
      <c r="N93" s="1">
        <f t="shared" si="23"/>
        <v>-1.7419395877920738</v>
      </c>
      <c r="O93" s="66">
        <f t="shared" si="24"/>
        <v>26011189.355244555</v>
      </c>
      <c r="P93" s="17">
        <f t="shared" si="25"/>
        <v>23458005.864</v>
      </c>
      <c r="Q93" s="1">
        <f t="shared" si="27"/>
        <v>10.884060248116896</v>
      </c>
      <c r="V93" s="47">
        <f t="shared" si="26"/>
        <v>2553183.4912445545</v>
      </c>
    </row>
    <row r="94" spans="1:24" ht="15.6" x14ac:dyDescent="0.3">
      <c r="A94" s="13" t="s">
        <v>136</v>
      </c>
      <c r="B94" s="21" t="s">
        <v>149</v>
      </c>
      <c r="C94" s="1" t="s">
        <v>207</v>
      </c>
      <c r="D94" s="17">
        <v>27701895.935999997</v>
      </c>
      <c r="E94" s="17">
        <v>27860853.456</v>
      </c>
      <c r="F94" s="17">
        <v>25524164.023999993</v>
      </c>
      <c r="G94" s="17">
        <v>26210528.944000002</v>
      </c>
      <c r="H94" s="17">
        <v>20598511.239999998</v>
      </c>
      <c r="I94" s="1">
        <v>26824360.59</v>
      </c>
      <c r="J94" s="1">
        <v>-23.209684082165857</v>
      </c>
      <c r="K94" s="1">
        <v>-11.902688056370025</v>
      </c>
      <c r="L94" s="1">
        <v>-11.306996025795833</v>
      </c>
      <c r="M94" s="31">
        <v>0</v>
      </c>
      <c r="N94" s="1">
        <f t="shared" si="23"/>
        <v>-11.902688056370025</v>
      </c>
      <c r="O94" s="66">
        <f t="shared" si="24"/>
        <v>23631540.625856444</v>
      </c>
      <c r="P94" s="17">
        <f t="shared" si="25"/>
        <v>20598511.239999998</v>
      </c>
      <c r="Q94" s="1">
        <f t="shared" si="27"/>
        <v>14.724507759408567</v>
      </c>
      <c r="V94" s="47">
        <f t="shared" si="26"/>
        <v>3033029.3858564459</v>
      </c>
    </row>
    <row r="95" spans="1:24" ht="15.6" x14ac:dyDescent="0.3">
      <c r="A95" s="13"/>
      <c r="B95" s="22" t="s">
        <v>29</v>
      </c>
      <c r="C95" s="1" t="s">
        <v>208</v>
      </c>
      <c r="D95" s="17">
        <v>32850749.392000001</v>
      </c>
      <c r="E95" s="17">
        <v>26168015.472000003</v>
      </c>
      <c r="F95" s="17">
        <v>25505982.400000006</v>
      </c>
      <c r="G95" s="17">
        <v>30188564.856000021</v>
      </c>
      <c r="H95" s="17">
        <v>23319885.640000015</v>
      </c>
      <c r="I95" s="1">
        <v>28678328.030000009</v>
      </c>
      <c r="J95" s="1">
        <v>-18.684640137997583</v>
      </c>
      <c r="K95" s="1">
        <v>-2.7956006578741195</v>
      </c>
      <c r="L95" s="1">
        <v>-15.889039480123463</v>
      </c>
      <c r="M95" s="31">
        <v>-6</v>
      </c>
      <c r="N95" s="1">
        <f t="shared" si="23"/>
        <v>-8.7956006578741199</v>
      </c>
      <c r="O95" s="66">
        <f t="shared" si="24"/>
        <v>26155896.821126029</v>
      </c>
      <c r="P95" s="17">
        <f t="shared" si="25"/>
        <v>23319885.640000015</v>
      </c>
      <c r="Q95" s="1">
        <f t="shared" si="27"/>
        <v>12.161342576489631</v>
      </c>
      <c r="V95" s="47">
        <f t="shared" si="26"/>
        <v>2836011.1811260134</v>
      </c>
    </row>
    <row r="96" spans="1:24" ht="15.6" x14ac:dyDescent="0.3">
      <c r="A96" s="7"/>
      <c r="B96" s="21"/>
      <c r="C96" s="1"/>
      <c r="D96" s="17"/>
      <c r="E96" s="17"/>
      <c r="F96" s="17"/>
      <c r="G96" s="17"/>
      <c r="H96" s="17"/>
      <c r="I96" s="1"/>
      <c r="J96" s="1"/>
      <c r="K96" s="1"/>
      <c r="L96" s="1"/>
      <c r="M96" s="1"/>
      <c r="N96" s="1"/>
      <c r="O96" s="1"/>
      <c r="P96" s="1" t="s">
        <v>35</v>
      </c>
      <c r="Q96" s="1">
        <f>SUM(Q82:Q95)/14</f>
        <v>6.9832859118264086</v>
      </c>
      <c r="R96" s="36" t="s">
        <v>58</v>
      </c>
      <c r="S96">
        <f>SQRT(SUMXMY2(O82:O95, P82:P95) / COUNT(P82:P95))</f>
        <v>1927043.6248173753</v>
      </c>
      <c r="T96" s="36" t="s">
        <v>59</v>
      </c>
      <c r="U96" s="36">
        <f>RSQ(O82:O95,P82:P95)</f>
        <v>0.62416839196563612</v>
      </c>
      <c r="V96" s="36" t="s">
        <v>60</v>
      </c>
      <c r="W96" s="36">
        <f t="array" ref="W96">AVERAGE(ABS(V82:V95))</f>
        <v>1526050.745511126</v>
      </c>
      <c r="X96" s="36" cm="1">
        <f t="array" ref="X96">SUMPRODUCT(ABS(O82:O95 - P82:P95)) / COUNT(O82:O95)</f>
        <v>1526050.745511126</v>
      </c>
    </row>
    <row r="98" spans="1:22" ht="15.6" x14ac:dyDescent="0.3">
      <c r="A98" s="16"/>
      <c r="B98" s="16"/>
      <c r="C98" s="16"/>
      <c r="D98" s="33"/>
      <c r="E98" s="33"/>
      <c r="F98" s="33"/>
      <c r="G98" s="33"/>
      <c r="H98" s="33"/>
      <c r="I98" s="16"/>
      <c r="J98" s="16"/>
      <c r="K98" s="16"/>
      <c r="L98" s="16"/>
      <c r="M98" s="16"/>
      <c r="N98" s="16"/>
      <c r="O98" s="16"/>
      <c r="P98" s="16"/>
      <c r="Q98" s="16"/>
    </row>
    <row r="99" spans="1:22" ht="15.6" x14ac:dyDescent="0.3">
      <c r="A99" s="34" t="s">
        <v>228</v>
      </c>
      <c r="B99" s="16"/>
      <c r="C99" s="16"/>
      <c r="D99" s="33"/>
      <c r="E99" s="33"/>
      <c r="F99" s="33"/>
      <c r="G99" s="33"/>
      <c r="H99" s="33"/>
      <c r="I99" s="16"/>
      <c r="J99" s="16"/>
      <c r="K99" s="16"/>
      <c r="L99" s="16"/>
      <c r="M99" s="16"/>
      <c r="N99" s="16"/>
      <c r="O99" s="16"/>
      <c r="P99" s="16"/>
      <c r="Q99" s="16"/>
    </row>
    <row r="100" spans="1:22" ht="15.6" x14ac:dyDescent="0.3">
      <c r="A100" s="2" t="s">
        <v>123</v>
      </c>
      <c r="B100" s="2" t="s">
        <v>124</v>
      </c>
      <c r="C100" s="3" t="s">
        <v>125</v>
      </c>
      <c r="D100" s="107" t="s">
        <v>126</v>
      </c>
      <c r="E100" s="108"/>
      <c r="F100" s="108"/>
      <c r="G100" s="108"/>
      <c r="H100" s="108"/>
      <c r="I100" s="109" t="s">
        <v>25</v>
      </c>
      <c r="J100" s="109" t="s">
        <v>26</v>
      </c>
      <c r="K100" s="109" t="s">
        <v>28</v>
      </c>
      <c r="L100" s="109" t="s">
        <v>27</v>
      </c>
      <c r="M100" s="5" t="s">
        <v>0</v>
      </c>
      <c r="N100" s="4" t="s">
        <v>2</v>
      </c>
      <c r="O100" s="19" t="s">
        <v>3</v>
      </c>
      <c r="P100" s="6" t="s">
        <v>4</v>
      </c>
      <c r="Q100" s="5" t="s">
        <v>5</v>
      </c>
    </row>
    <row r="101" spans="1:22" ht="15.6" x14ac:dyDescent="0.3">
      <c r="A101" s="7"/>
      <c r="B101" s="7"/>
      <c r="C101" s="8"/>
      <c r="D101" s="9" t="s">
        <v>127</v>
      </c>
      <c r="E101" s="9" t="s">
        <v>128</v>
      </c>
      <c r="F101" s="9" t="s">
        <v>129</v>
      </c>
      <c r="G101" s="9" t="s">
        <v>130</v>
      </c>
      <c r="H101" s="9" t="s">
        <v>131</v>
      </c>
      <c r="I101" s="110"/>
      <c r="J101" s="110"/>
      <c r="K101" s="110"/>
      <c r="L101" s="110"/>
      <c r="M101" s="10" t="s">
        <v>1</v>
      </c>
      <c r="N101" s="11" t="s">
        <v>26</v>
      </c>
      <c r="O101" s="20" t="s">
        <v>51</v>
      </c>
      <c r="P101" s="12" t="s">
        <v>52</v>
      </c>
      <c r="Q101" s="10" t="s">
        <v>6</v>
      </c>
    </row>
    <row r="102" spans="1:22" ht="15.6" x14ac:dyDescent="0.3">
      <c r="A102" s="2" t="s">
        <v>132</v>
      </c>
      <c r="B102" s="1" t="s">
        <v>137</v>
      </c>
      <c r="C102" s="1" t="s">
        <v>196</v>
      </c>
      <c r="D102" s="17">
        <v>24649306.023999996</v>
      </c>
      <c r="E102" s="17">
        <v>26388463.711999997</v>
      </c>
      <c r="F102" s="17">
        <v>25474317.656000007</v>
      </c>
      <c r="G102" s="17">
        <v>25889710.648000002</v>
      </c>
      <c r="H102" s="17">
        <v>21383235.272000007</v>
      </c>
      <c r="I102" s="1">
        <v>25600449.510000002</v>
      </c>
      <c r="J102" s="1">
        <v>-16.473203864458213</v>
      </c>
      <c r="K102" s="1">
        <v>-5.1876095222967491</v>
      </c>
      <c r="L102" s="1">
        <v>-11.285594342161463</v>
      </c>
      <c r="M102" s="31">
        <v>-11.894600000000001</v>
      </c>
      <c r="N102" s="1">
        <f>M102+K102</f>
        <v>-17.08220952229675</v>
      </c>
      <c r="O102" s="66">
        <f>I102+((N102*I102)/100)</f>
        <v>21227327.086052008</v>
      </c>
      <c r="P102" s="17">
        <f>H102</f>
        <v>21383235.272000007</v>
      </c>
      <c r="Q102" s="1">
        <f>-((O102-H102)/H102)*100</f>
        <v>0.7291141118956459</v>
      </c>
      <c r="V102" s="47">
        <f>(O102-P102)</f>
        <v>-155908.18594799936</v>
      </c>
    </row>
    <row r="103" spans="1:22" ht="15.6" x14ac:dyDescent="0.3">
      <c r="A103" s="7"/>
      <c r="B103" s="1" t="s">
        <v>138</v>
      </c>
      <c r="C103" s="1" t="s">
        <v>197</v>
      </c>
      <c r="D103" s="17">
        <v>20767779.824000008</v>
      </c>
      <c r="E103" s="17">
        <v>29123880.240000013</v>
      </c>
      <c r="F103" s="17">
        <v>29726540.503999997</v>
      </c>
      <c r="G103" s="17">
        <v>29297503.66399999</v>
      </c>
      <c r="H103" s="17">
        <v>23369011.471999992</v>
      </c>
      <c r="I103" s="1">
        <v>27228926.058000002</v>
      </c>
      <c r="J103" s="1">
        <v>-14.175787094129433</v>
      </c>
      <c r="K103" s="1">
        <v>-4.9532392575701598</v>
      </c>
      <c r="L103" s="1">
        <v>-9.2225478365592721</v>
      </c>
      <c r="M103" s="31">
        <v>-6</v>
      </c>
      <c r="N103" s="1">
        <f t="shared" ref="N103:N115" si="28">M103+K103</f>
        <v>-10.953239257570161</v>
      </c>
      <c r="O103" s="66">
        <f t="shared" ref="O103:O115" si="29">I103+((N103*I103)/100)</f>
        <v>24246476.639600396</v>
      </c>
      <c r="P103" s="17">
        <f t="shared" ref="P103:P115" si="30">H103</f>
        <v>23369011.471999992</v>
      </c>
      <c r="Q103" s="1">
        <f>((O103-H103)/H103)*100</f>
        <v>3.7548236417777248</v>
      </c>
      <c r="V103" s="47">
        <f t="shared" ref="V103:V115" si="31">(O103-P103)</f>
        <v>877465.16760040447</v>
      </c>
    </row>
    <row r="104" spans="1:22" ht="15.6" x14ac:dyDescent="0.3">
      <c r="A104" s="2" t="s">
        <v>133</v>
      </c>
      <c r="B104" s="1" t="s">
        <v>139</v>
      </c>
      <c r="C104" s="1" t="s">
        <v>198</v>
      </c>
      <c r="D104" s="17">
        <v>22208042.696000002</v>
      </c>
      <c r="E104" s="17">
        <v>28933956.82399999</v>
      </c>
      <c r="F104" s="17">
        <v>29751614.272000015</v>
      </c>
      <c r="G104" s="17">
        <v>22312681.199999999</v>
      </c>
      <c r="H104" s="17">
        <v>20658324.559999991</v>
      </c>
      <c r="I104" s="1">
        <v>25801573.748000003</v>
      </c>
      <c r="J104" s="1">
        <v>-19.933858446904576</v>
      </c>
      <c r="K104" s="1">
        <v>-6.2290872305821283</v>
      </c>
      <c r="L104" s="1">
        <v>-13.704771216322449</v>
      </c>
      <c r="M104" s="31">
        <v>0</v>
      </c>
      <c r="N104" s="1">
        <f t="shared" si="28"/>
        <v>-6.2290872305821283</v>
      </c>
      <c r="O104" s="66">
        <f t="shared" si="29"/>
        <v>24194371.212374106</v>
      </c>
      <c r="P104" s="17">
        <f t="shared" si="30"/>
        <v>20658324.559999991</v>
      </c>
      <c r="Q104" s="1">
        <f>((O104-H104)/H104)*100</f>
        <v>17.116812363481021</v>
      </c>
      <c r="V104" s="47">
        <f t="shared" si="31"/>
        <v>3536046.6523741148</v>
      </c>
    </row>
    <row r="105" spans="1:22" ht="15.6" x14ac:dyDescent="0.3">
      <c r="A105" s="13"/>
      <c r="B105" s="1" t="s">
        <v>140</v>
      </c>
      <c r="C105" s="1" t="s">
        <v>199</v>
      </c>
      <c r="D105" s="17">
        <v>27025283.271999992</v>
      </c>
      <c r="E105" s="17">
        <v>21083587.744000003</v>
      </c>
      <c r="F105" s="17">
        <v>28915431.056000009</v>
      </c>
      <c r="G105" s="17">
        <v>29089796.352000002</v>
      </c>
      <c r="H105" s="17">
        <v>23414288.264000002</v>
      </c>
      <c r="I105" s="1">
        <v>26528524.605999999</v>
      </c>
      <c r="J105" s="1">
        <v>-11.739199176179005</v>
      </c>
      <c r="K105" s="1">
        <v>-1.6861633723729623</v>
      </c>
      <c r="L105" s="1">
        <v>-10.053035803806043</v>
      </c>
      <c r="M105" s="30">
        <v>-9</v>
      </c>
      <c r="N105" s="1">
        <f t="shared" si="28"/>
        <v>-10.686163372372963</v>
      </c>
      <c r="O105" s="66">
        <f t="shared" si="29"/>
        <v>23693643.126322679</v>
      </c>
      <c r="P105" s="17">
        <f t="shared" si="30"/>
        <v>23414288.264000002</v>
      </c>
      <c r="Q105" s="1">
        <f>((O105-H105)/H105)*100</f>
        <v>1.193095682315449</v>
      </c>
      <c r="V105" s="47">
        <f t="shared" si="31"/>
        <v>279354.86232267693</v>
      </c>
    </row>
    <row r="106" spans="1:22" ht="15.6" x14ac:dyDescent="0.3">
      <c r="A106" s="13"/>
      <c r="B106" s="1" t="s">
        <v>141</v>
      </c>
      <c r="C106" s="1" t="s">
        <v>200</v>
      </c>
      <c r="D106" s="17">
        <v>23272361.783999994</v>
      </c>
      <c r="E106" s="17">
        <v>30686317.911999989</v>
      </c>
      <c r="F106" s="17">
        <v>29710821.192000005</v>
      </c>
      <c r="G106" s="17">
        <v>29906453.991999999</v>
      </c>
      <c r="H106" s="17">
        <v>23798220.599999998</v>
      </c>
      <c r="I106" s="1">
        <v>28393988.719999995</v>
      </c>
      <c r="J106" s="1">
        <v>-16.18570805715245</v>
      </c>
      <c r="K106" s="1">
        <v>-4.518311150841698</v>
      </c>
      <c r="L106" s="1">
        <v>-11.667396906310753</v>
      </c>
      <c r="M106" s="31">
        <v>-9</v>
      </c>
      <c r="N106" s="1">
        <f t="shared" si="28"/>
        <v>-13.518311150841697</v>
      </c>
      <c r="O106" s="66">
        <f t="shared" si="29"/>
        <v>24555600.9766955</v>
      </c>
      <c r="P106" s="17">
        <f t="shared" si="30"/>
        <v>23798220.599999998</v>
      </c>
      <c r="Q106" s="1">
        <f>((O106-H106)/H106)*100</f>
        <v>3.1825084296239465</v>
      </c>
      <c r="V106" s="47">
        <f t="shared" si="31"/>
        <v>757380.37669550255</v>
      </c>
    </row>
    <row r="107" spans="1:22" ht="15.6" x14ac:dyDescent="0.3">
      <c r="A107" s="13"/>
      <c r="B107" s="1" t="s">
        <v>142</v>
      </c>
      <c r="C107" s="1" t="s">
        <v>201</v>
      </c>
      <c r="D107" s="17">
        <v>27210185.296000004</v>
      </c>
      <c r="E107" s="17">
        <v>27031164.551999997</v>
      </c>
      <c r="F107" s="17">
        <v>27719443.167999998</v>
      </c>
      <c r="G107" s="17">
        <v>27294018.752000004</v>
      </c>
      <c r="H107" s="17">
        <v>25703679.503999997</v>
      </c>
      <c r="I107" s="1">
        <v>27313702.942000002</v>
      </c>
      <c r="J107" s="1">
        <v>-5.894563038262703</v>
      </c>
      <c r="K107" s="1">
        <v>-2.1361635756669308</v>
      </c>
      <c r="L107" s="1">
        <v>-3.7583994625957722</v>
      </c>
      <c r="M107" s="31">
        <v>-4.5</v>
      </c>
      <c r="N107" s="1">
        <f t="shared" si="28"/>
        <v>-6.6361635756669308</v>
      </c>
      <c r="O107" s="66">
        <f t="shared" si="29"/>
        <v>25501120.936197132</v>
      </c>
      <c r="P107" s="17">
        <f t="shared" si="30"/>
        <v>25703679.503999997</v>
      </c>
      <c r="Q107" s="1">
        <f>-((O107-H107)/H107)*100</f>
        <v>0.78805280688059842</v>
      </c>
      <c r="V107" s="47">
        <f t="shared" si="31"/>
        <v>-202558.56780286506</v>
      </c>
    </row>
    <row r="108" spans="1:22" ht="15.6" x14ac:dyDescent="0.3">
      <c r="A108" s="13"/>
      <c r="B108" s="1" t="s">
        <v>143</v>
      </c>
      <c r="C108" s="1" t="s">
        <v>202</v>
      </c>
      <c r="D108" s="17">
        <v>28152490.67200001</v>
      </c>
      <c r="E108" s="17">
        <v>24068160.223999988</v>
      </c>
      <c r="F108" s="17">
        <v>21402954.399999991</v>
      </c>
      <c r="G108" s="17">
        <v>19347440.591999996</v>
      </c>
      <c r="H108" s="17">
        <v>18556039.552000005</v>
      </c>
      <c r="I108" s="1">
        <v>23242761.471999995</v>
      </c>
      <c r="J108" s="1">
        <v>-20.164221560531754</v>
      </c>
      <c r="K108" s="1">
        <v>-4.5612356338052029</v>
      </c>
      <c r="L108" s="1">
        <v>-15.60298592672655</v>
      </c>
      <c r="M108" s="31">
        <v>-6</v>
      </c>
      <c r="N108" s="1">
        <f t="shared" si="28"/>
        <v>-10.561235633805204</v>
      </c>
      <c r="O108" s="66">
        <f t="shared" si="29"/>
        <v>20788038.665138785</v>
      </c>
      <c r="P108" s="17">
        <f t="shared" si="30"/>
        <v>18556039.552000005</v>
      </c>
      <c r="Q108" s="1">
        <f t="shared" ref="Q108:Q115" si="32">((O108-H108)/H108)*100</f>
        <v>12.028423990388676</v>
      </c>
      <c r="V108" s="47">
        <f t="shared" si="31"/>
        <v>2231999.11313878</v>
      </c>
    </row>
    <row r="109" spans="1:22" ht="15.6" x14ac:dyDescent="0.3">
      <c r="A109" s="13"/>
      <c r="B109" s="1" t="s">
        <v>144</v>
      </c>
      <c r="C109" s="1" t="s">
        <v>203</v>
      </c>
      <c r="D109" s="17">
        <v>24068160.223999988</v>
      </c>
      <c r="E109" s="17">
        <v>21402954.399999991</v>
      </c>
      <c r="F109" s="17">
        <v>19347440.591999996</v>
      </c>
      <c r="G109" s="17">
        <v>18556039.552000005</v>
      </c>
      <c r="H109" s="17">
        <v>20061147.615999997</v>
      </c>
      <c r="I109" s="1">
        <v>20843648.691999994</v>
      </c>
      <c r="J109" s="1">
        <v>-3.7541463472291654</v>
      </c>
      <c r="K109" s="1">
        <v>-2.2169826982039371</v>
      </c>
      <c r="L109" s="1">
        <v>-1.5371636490252283</v>
      </c>
      <c r="M109" s="31">
        <v>0</v>
      </c>
      <c r="N109" s="1">
        <f t="shared" si="28"/>
        <v>-2.2169826982039371</v>
      </c>
      <c r="O109" s="66">
        <f t="shared" si="29"/>
        <v>20381548.606823944</v>
      </c>
      <c r="P109" s="17">
        <f t="shared" si="30"/>
        <v>20061147.615999997</v>
      </c>
      <c r="Q109" s="1">
        <f t="shared" si="32"/>
        <v>1.5971219441524247</v>
      </c>
      <c r="V109" s="47">
        <f t="shared" si="31"/>
        <v>320400.99082394689</v>
      </c>
    </row>
    <row r="110" spans="1:22" ht="15.6" x14ac:dyDescent="0.3">
      <c r="A110" s="2" t="s">
        <v>134</v>
      </c>
      <c r="B110" s="1" t="s">
        <v>145</v>
      </c>
      <c r="C110" s="1" t="s">
        <v>204</v>
      </c>
      <c r="D110" s="17">
        <v>26929203.224000007</v>
      </c>
      <c r="E110" s="17">
        <v>26205002.327999994</v>
      </c>
      <c r="F110" s="17">
        <v>27649232.464000002</v>
      </c>
      <c r="G110" s="17">
        <v>28487017.607999995</v>
      </c>
      <c r="H110" s="17">
        <v>22518592.687999986</v>
      </c>
      <c r="I110" s="1">
        <v>27317613.905999999</v>
      </c>
      <c r="J110" s="1">
        <v>-17.567497785544013</v>
      </c>
      <c r="K110" s="1">
        <v>-8.106170516711904</v>
      </c>
      <c r="L110" s="1">
        <v>-9.4613272688321093</v>
      </c>
      <c r="M110" s="31">
        <v>-4.5</v>
      </c>
      <c r="N110" s="1">
        <f t="shared" si="28"/>
        <v>-12.606170516711904</v>
      </c>
      <c r="O110" s="66">
        <f t="shared" si="29"/>
        <v>23873908.915912636</v>
      </c>
      <c r="P110" s="17">
        <f t="shared" si="30"/>
        <v>22518592.687999986</v>
      </c>
      <c r="Q110" s="1">
        <f t="shared" si="32"/>
        <v>6.0186542147231465</v>
      </c>
      <c r="V110" s="47">
        <f t="shared" si="31"/>
        <v>1355316.2279126495</v>
      </c>
    </row>
    <row r="111" spans="1:22" ht="15.6" x14ac:dyDescent="0.3">
      <c r="A111" s="13"/>
      <c r="B111" s="1" t="s">
        <v>146</v>
      </c>
      <c r="C111" s="1" t="s">
        <v>205</v>
      </c>
      <c r="D111" s="17">
        <v>23185442.671999995</v>
      </c>
      <c r="E111" s="17">
        <v>30488212.287999984</v>
      </c>
      <c r="F111" s="17">
        <v>31284871.175999995</v>
      </c>
      <c r="G111" s="17">
        <v>30880025.823999994</v>
      </c>
      <c r="H111" s="17">
        <v>25094944.103999987</v>
      </c>
      <c r="I111" s="1">
        <v>28959637.989999995</v>
      </c>
      <c r="J111" s="1">
        <v>-13.345104270068978</v>
      </c>
      <c r="K111" s="1">
        <v>-6.5666471610718533</v>
      </c>
      <c r="L111" s="1">
        <v>-6.7784571089971246</v>
      </c>
      <c r="M111" s="31">
        <v>-4.8019999999999996</v>
      </c>
      <c r="N111" s="1">
        <f t="shared" si="28"/>
        <v>-11.368647161071852</v>
      </c>
      <c r="O111" s="66">
        <f t="shared" si="29"/>
        <v>25667318.927793175</v>
      </c>
      <c r="P111" s="17">
        <f t="shared" si="30"/>
        <v>25094944.103999987</v>
      </c>
      <c r="Q111" s="1">
        <f t="shared" si="32"/>
        <v>2.2808372133491006</v>
      </c>
      <c r="V111" s="47">
        <f t="shared" si="31"/>
        <v>572374.82379318774</v>
      </c>
    </row>
    <row r="112" spans="1:22" ht="15.6" x14ac:dyDescent="0.3">
      <c r="A112" s="13"/>
      <c r="B112" s="1" t="s">
        <v>147</v>
      </c>
      <c r="C112" s="1" t="s">
        <v>175</v>
      </c>
      <c r="D112" s="17">
        <v>33735338.095999993</v>
      </c>
      <c r="E112" s="17">
        <v>32642074.944000002</v>
      </c>
      <c r="F112" s="17">
        <v>31107022.223999999</v>
      </c>
      <c r="G112" s="17">
        <v>22935017.631999999</v>
      </c>
      <c r="H112" s="17">
        <v>23465166.680000011</v>
      </c>
      <c r="I112" s="1">
        <v>30104863.223999999</v>
      </c>
      <c r="J112" s="1">
        <v>-22.055229065803342</v>
      </c>
      <c r="K112" s="1">
        <v>-8.7823477538703028</v>
      </c>
      <c r="L112" s="1">
        <v>-13.272881311933039</v>
      </c>
      <c r="M112" s="31">
        <v>-4.5</v>
      </c>
      <c r="N112" s="1">
        <f t="shared" si="28"/>
        <v>-13.282347753870303</v>
      </c>
      <c r="O112" s="66">
        <f t="shared" si="29"/>
        <v>26106230.599761307</v>
      </c>
      <c r="P112" s="17">
        <f t="shared" si="30"/>
        <v>23465166.680000011</v>
      </c>
      <c r="Q112" s="1">
        <f t="shared" si="32"/>
        <v>11.255253183487273</v>
      </c>
      <c r="V112" s="47">
        <f t="shared" si="31"/>
        <v>2641063.9197612964</v>
      </c>
    </row>
    <row r="113" spans="1:24" ht="15.6" x14ac:dyDescent="0.3">
      <c r="A113" s="2" t="s">
        <v>135</v>
      </c>
      <c r="B113" s="21" t="s">
        <v>148</v>
      </c>
      <c r="C113" s="1" t="s">
        <v>206</v>
      </c>
      <c r="D113" s="17">
        <v>26571839.079999998</v>
      </c>
      <c r="E113" s="17">
        <v>21378547.239999987</v>
      </c>
      <c r="F113" s="17">
        <v>28930032.399999987</v>
      </c>
      <c r="G113" s="17">
        <v>29008866.071999986</v>
      </c>
      <c r="H113" s="17">
        <v>23458005.864</v>
      </c>
      <c r="I113" s="1">
        <v>26472321.197999988</v>
      </c>
      <c r="J113" s="1">
        <v>-11.386668027538599</v>
      </c>
      <c r="K113" s="1">
        <v>-1.7419395877920738</v>
      </c>
      <c r="L113" s="1">
        <v>-9.644728439746526</v>
      </c>
      <c r="M113" s="31">
        <v>0</v>
      </c>
      <c r="N113" s="1">
        <f t="shared" si="28"/>
        <v>-1.7419395877920738</v>
      </c>
      <c r="O113" s="66">
        <f t="shared" si="29"/>
        <v>26011189.355244555</v>
      </c>
      <c r="P113" s="17">
        <f t="shared" si="30"/>
        <v>23458005.864</v>
      </c>
      <c r="Q113" s="1">
        <f t="shared" si="32"/>
        <v>10.884060248116896</v>
      </c>
      <c r="V113" s="47">
        <f t="shared" si="31"/>
        <v>2553183.4912445545</v>
      </c>
    </row>
    <row r="114" spans="1:24" ht="15.6" x14ac:dyDescent="0.3">
      <c r="A114" s="13" t="s">
        <v>136</v>
      </c>
      <c r="B114" s="21" t="s">
        <v>149</v>
      </c>
      <c r="C114" s="1" t="s">
        <v>207</v>
      </c>
      <c r="D114" s="17">
        <v>27701895.935999997</v>
      </c>
      <c r="E114" s="17">
        <v>27860853.456</v>
      </c>
      <c r="F114" s="17">
        <v>25524164.023999993</v>
      </c>
      <c r="G114" s="17">
        <v>26210528.944000002</v>
      </c>
      <c r="H114" s="17">
        <v>20598511.239999998</v>
      </c>
      <c r="I114" s="1">
        <v>26824360.59</v>
      </c>
      <c r="J114" s="1">
        <v>-23.209684082165857</v>
      </c>
      <c r="K114" s="1">
        <v>-11.902688056370025</v>
      </c>
      <c r="L114" s="1">
        <v>-11.306996025795833</v>
      </c>
      <c r="M114" s="31">
        <v>0</v>
      </c>
      <c r="N114" s="1">
        <f t="shared" si="28"/>
        <v>-11.902688056370025</v>
      </c>
      <c r="O114" s="66">
        <f t="shared" si="29"/>
        <v>23631540.625856444</v>
      </c>
      <c r="P114" s="17">
        <f t="shared" si="30"/>
        <v>20598511.239999998</v>
      </c>
      <c r="Q114" s="1">
        <f t="shared" si="32"/>
        <v>14.724507759408567</v>
      </c>
      <c r="V114" s="47">
        <f t="shared" si="31"/>
        <v>3033029.3858564459</v>
      </c>
    </row>
    <row r="115" spans="1:24" ht="15.6" x14ac:dyDescent="0.3">
      <c r="A115" s="13"/>
      <c r="B115" s="22" t="s">
        <v>29</v>
      </c>
      <c r="C115" s="1" t="s">
        <v>208</v>
      </c>
      <c r="D115" s="17">
        <v>32850749.392000001</v>
      </c>
      <c r="E115" s="17">
        <v>26168015.472000003</v>
      </c>
      <c r="F115" s="17">
        <v>25505982.400000006</v>
      </c>
      <c r="G115" s="17">
        <v>30188564.856000021</v>
      </c>
      <c r="H115" s="17">
        <v>23319885.640000015</v>
      </c>
      <c r="I115" s="1">
        <v>28678328.030000009</v>
      </c>
      <c r="J115" s="1">
        <v>-18.684640137997583</v>
      </c>
      <c r="K115" s="1">
        <v>-2.7956006578741195</v>
      </c>
      <c r="L115" s="1">
        <v>-15.889039480123463</v>
      </c>
      <c r="M115" s="31">
        <v>-6.12</v>
      </c>
      <c r="N115" s="1">
        <f t="shared" si="28"/>
        <v>-8.9156006578741192</v>
      </c>
      <c r="O115" s="66">
        <f t="shared" si="29"/>
        <v>26121482.827490032</v>
      </c>
      <c r="P115" s="17">
        <f t="shared" si="30"/>
        <v>23319885.640000015</v>
      </c>
      <c r="Q115" s="1">
        <f t="shared" si="32"/>
        <v>12.013768981287399</v>
      </c>
      <c r="V115" s="47">
        <f t="shared" si="31"/>
        <v>2801597.1874900162</v>
      </c>
    </row>
    <row r="116" spans="1:24" ht="15.6" x14ac:dyDescent="0.3">
      <c r="A116" s="7"/>
      <c r="B116" s="21"/>
      <c r="C116" s="1"/>
      <c r="D116" s="17"/>
      <c r="E116" s="17"/>
      <c r="F116" s="17"/>
      <c r="G116" s="17"/>
      <c r="H116" s="17"/>
      <c r="I116" s="1"/>
      <c r="J116" s="1"/>
      <c r="K116" s="1"/>
      <c r="L116" s="1"/>
      <c r="M116" s="1"/>
      <c r="N116" s="1"/>
      <c r="O116" s="1"/>
      <c r="P116" s="1" t="s">
        <v>35</v>
      </c>
      <c r="Q116" s="1">
        <f>SUM(Q102:Q115)/14</f>
        <v>6.9690738979205618</v>
      </c>
      <c r="R116" s="36" t="s">
        <v>58</v>
      </c>
      <c r="S116">
        <f>SQRT(SUMXMY2(O102:O115, P102:P115) / COUNT(P102:P115))</f>
        <v>1923199.0283163833</v>
      </c>
      <c r="T116" s="36" t="s">
        <v>59</v>
      </c>
      <c r="U116" s="36">
        <f>RSQ(O102:O115,P102:P115)</f>
        <v>0.62481337775507784</v>
      </c>
      <c r="V116" s="36" t="s">
        <v>60</v>
      </c>
      <c r="W116" s="36">
        <f t="array" ref="W116">AVERAGE(ABS(V102:V115))</f>
        <v>1522691.3537688886</v>
      </c>
      <c r="X116" s="36" cm="1">
        <f t="array" ref="X116">SUMPRODUCT(ABS(O102:O115 - P102:P115)) / COUNT(O102:O115)</f>
        <v>1522691.3537688886</v>
      </c>
    </row>
    <row r="117" spans="1:24" ht="15.6" x14ac:dyDescent="0.3">
      <c r="A117" s="16"/>
      <c r="B117" s="16"/>
      <c r="C117" s="16"/>
      <c r="D117" s="33"/>
      <c r="E117" s="33"/>
      <c r="F117" s="33"/>
      <c r="G117" s="33"/>
      <c r="H117" s="33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24" ht="15.6" x14ac:dyDescent="0.3">
      <c r="A118" s="34" t="s">
        <v>246</v>
      </c>
      <c r="B118" s="16"/>
      <c r="C118" s="16"/>
      <c r="D118" s="33"/>
      <c r="E118" s="33"/>
      <c r="F118" s="33"/>
      <c r="G118" s="33"/>
      <c r="H118" s="33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24" ht="15.6" x14ac:dyDescent="0.3">
      <c r="A119" s="2" t="s">
        <v>123</v>
      </c>
      <c r="B119" s="2" t="s">
        <v>124</v>
      </c>
      <c r="C119" s="3" t="s">
        <v>125</v>
      </c>
      <c r="D119" s="107" t="s">
        <v>126</v>
      </c>
      <c r="E119" s="108"/>
      <c r="F119" s="108"/>
      <c r="G119" s="108"/>
      <c r="H119" s="108"/>
      <c r="I119" s="97" t="s">
        <v>253</v>
      </c>
      <c r="J119" s="5" t="s">
        <v>4</v>
      </c>
      <c r="K119" s="98" t="s">
        <v>5</v>
      </c>
      <c r="L119" s="83"/>
      <c r="M119" s="83"/>
      <c r="N119" s="83"/>
      <c r="O119" s="83"/>
      <c r="P119" s="81"/>
      <c r="Q119" s="81"/>
    </row>
    <row r="120" spans="1:24" ht="15.6" x14ac:dyDescent="0.3">
      <c r="A120" s="7"/>
      <c r="B120" s="7"/>
      <c r="C120" s="8"/>
      <c r="D120" s="9" t="s">
        <v>127</v>
      </c>
      <c r="E120" s="9" t="s">
        <v>128</v>
      </c>
      <c r="F120" s="9" t="s">
        <v>129</v>
      </c>
      <c r="G120" s="9" t="s">
        <v>130</v>
      </c>
      <c r="H120" s="23" t="s">
        <v>131</v>
      </c>
      <c r="I120" s="99" t="s">
        <v>52</v>
      </c>
      <c r="J120" s="10" t="s">
        <v>52</v>
      </c>
      <c r="K120" s="100" t="s">
        <v>6</v>
      </c>
      <c r="L120" s="83"/>
      <c r="M120" s="83"/>
      <c r="N120" s="83"/>
      <c r="O120" s="83"/>
      <c r="P120" s="81"/>
      <c r="Q120" s="81"/>
    </row>
    <row r="121" spans="1:24" ht="15.6" x14ac:dyDescent="0.3">
      <c r="A121" s="2" t="s">
        <v>132</v>
      </c>
      <c r="B121" s="1" t="s">
        <v>137</v>
      </c>
      <c r="C121" s="1" t="s">
        <v>196</v>
      </c>
      <c r="D121" s="17">
        <v>24649306.023999996</v>
      </c>
      <c r="E121" s="17">
        <v>26388463.711999997</v>
      </c>
      <c r="F121" s="17">
        <v>25474317.656000007</v>
      </c>
      <c r="G121" s="17">
        <v>25889710.648000002</v>
      </c>
      <c r="H121" s="79">
        <v>21383235.272000007</v>
      </c>
      <c r="I121" s="95">
        <v>24751094.98</v>
      </c>
      <c r="J121" s="95">
        <f>H121</f>
        <v>21383235.272000007</v>
      </c>
      <c r="K121" s="96">
        <f>ABS((I121-J121)/J121)*100</f>
        <v>15.750000713923734</v>
      </c>
      <c r="L121" s="33"/>
      <c r="M121" s="33"/>
      <c r="N121" s="33"/>
      <c r="O121" s="33"/>
      <c r="P121" s="33"/>
      <c r="Q121" s="16"/>
    </row>
    <row r="122" spans="1:24" ht="15.6" x14ac:dyDescent="0.3">
      <c r="A122" s="7"/>
      <c r="B122" s="1" t="s">
        <v>138</v>
      </c>
      <c r="C122" s="1" t="s">
        <v>197</v>
      </c>
      <c r="D122" s="17">
        <v>20767779.824000008</v>
      </c>
      <c r="E122" s="17">
        <v>29123880.240000013</v>
      </c>
      <c r="F122" s="17">
        <v>29726540.503999997</v>
      </c>
      <c r="G122" s="17">
        <v>29297503.66399999</v>
      </c>
      <c r="H122" s="79">
        <v>23369011.471999992</v>
      </c>
      <c r="I122" s="17">
        <v>23836416.690000001</v>
      </c>
      <c r="J122" s="17">
        <f t="shared" ref="J122:J134" si="33">H122</f>
        <v>23369011.471999992</v>
      </c>
      <c r="K122" s="94">
        <f t="shared" ref="K122:K134" si="34">ABS((I122-J122)/J122)*100</f>
        <v>2.0001069303254</v>
      </c>
      <c r="L122" s="33"/>
      <c r="M122" s="33"/>
      <c r="N122" s="33"/>
      <c r="O122" s="33"/>
      <c r="P122" s="33"/>
      <c r="Q122" s="16"/>
    </row>
    <row r="123" spans="1:24" ht="15.6" x14ac:dyDescent="0.3">
      <c r="A123" s="2" t="s">
        <v>133</v>
      </c>
      <c r="B123" s="1" t="s">
        <v>139</v>
      </c>
      <c r="C123" s="1" t="s">
        <v>198</v>
      </c>
      <c r="D123" s="17">
        <v>22208042.696000002</v>
      </c>
      <c r="E123" s="17">
        <v>28933956.82399999</v>
      </c>
      <c r="F123" s="17">
        <v>29751614.272000015</v>
      </c>
      <c r="G123" s="17">
        <v>22312681.199999999</v>
      </c>
      <c r="H123" s="79">
        <v>20658324.559999991</v>
      </c>
      <c r="I123" s="17">
        <v>23757841.550000001</v>
      </c>
      <c r="J123" s="17">
        <f t="shared" si="33"/>
        <v>20658324.559999991</v>
      </c>
      <c r="K123" s="94">
        <f t="shared" si="34"/>
        <v>15.003719110897787</v>
      </c>
      <c r="L123" s="33"/>
      <c r="M123" s="33"/>
      <c r="N123" s="33"/>
      <c r="O123" s="33"/>
      <c r="P123" s="33"/>
      <c r="Q123" s="16"/>
    </row>
    <row r="124" spans="1:24" ht="15.6" x14ac:dyDescent="0.3">
      <c r="A124" s="13"/>
      <c r="B124" s="1" t="s">
        <v>140</v>
      </c>
      <c r="C124" s="1" t="s">
        <v>199</v>
      </c>
      <c r="D124" s="17">
        <v>27025283.271999992</v>
      </c>
      <c r="E124" s="17">
        <v>21083587.744000003</v>
      </c>
      <c r="F124" s="17">
        <v>28915431.056000009</v>
      </c>
      <c r="G124" s="17">
        <v>29089796.352000002</v>
      </c>
      <c r="H124" s="79">
        <v>23414288.264000002</v>
      </c>
      <c r="I124" s="17">
        <v>23759364.210000001</v>
      </c>
      <c r="J124" s="17">
        <f t="shared" si="33"/>
        <v>23414288.264000002</v>
      </c>
      <c r="K124" s="94">
        <f t="shared" si="34"/>
        <v>1.4737836235259847</v>
      </c>
      <c r="L124" s="33"/>
      <c r="M124" s="33"/>
      <c r="N124" s="33"/>
      <c r="O124" s="33"/>
      <c r="P124" s="33"/>
      <c r="Q124" s="16"/>
    </row>
    <row r="125" spans="1:24" ht="15.6" x14ac:dyDescent="0.3">
      <c r="A125" s="13"/>
      <c r="B125" s="1" t="s">
        <v>141</v>
      </c>
      <c r="C125" s="1" t="s">
        <v>200</v>
      </c>
      <c r="D125" s="17">
        <v>23272361.783999994</v>
      </c>
      <c r="E125" s="17">
        <v>30686317.911999989</v>
      </c>
      <c r="F125" s="17">
        <v>29710821.192000005</v>
      </c>
      <c r="G125" s="17">
        <v>29906453.991999999</v>
      </c>
      <c r="H125" s="79">
        <v>23798220.599999998</v>
      </c>
      <c r="I125" s="17">
        <v>23920559.449999999</v>
      </c>
      <c r="J125" s="17">
        <f t="shared" si="33"/>
        <v>23798220.599999998</v>
      </c>
      <c r="K125" s="94">
        <f t="shared" si="34"/>
        <v>0.51406721559678925</v>
      </c>
      <c r="L125" s="33"/>
      <c r="M125" s="33"/>
      <c r="N125" s="33"/>
      <c r="O125" s="33"/>
      <c r="P125" s="33"/>
      <c r="Q125" s="16"/>
    </row>
    <row r="126" spans="1:24" ht="15.6" x14ac:dyDescent="0.3">
      <c r="A126" s="13"/>
      <c r="B126" s="1" t="s">
        <v>142</v>
      </c>
      <c r="C126" s="1" t="s">
        <v>201</v>
      </c>
      <c r="D126" s="17">
        <v>27210185.296000004</v>
      </c>
      <c r="E126" s="17">
        <v>27031164.551999997</v>
      </c>
      <c r="F126" s="17">
        <v>27719443.167999998</v>
      </c>
      <c r="G126" s="17">
        <v>27294018.752000004</v>
      </c>
      <c r="H126" s="79">
        <v>25703679.503999997</v>
      </c>
      <c r="I126" s="17">
        <v>24210309.030000001</v>
      </c>
      <c r="J126" s="17">
        <f t="shared" si="33"/>
        <v>25703679.503999997</v>
      </c>
      <c r="K126" s="94">
        <f t="shared" si="34"/>
        <v>5.8099482362733239</v>
      </c>
      <c r="L126" s="33"/>
      <c r="M126" s="33"/>
      <c r="N126" s="33"/>
      <c r="O126" s="33"/>
      <c r="P126" s="33"/>
      <c r="Q126" s="16"/>
    </row>
    <row r="127" spans="1:24" ht="15.6" x14ac:dyDescent="0.3">
      <c r="A127" s="13"/>
      <c r="B127" s="1" t="s">
        <v>143</v>
      </c>
      <c r="C127" s="1" t="s">
        <v>202</v>
      </c>
      <c r="D127" s="17">
        <v>28152490.67200001</v>
      </c>
      <c r="E127" s="17">
        <v>24068160.223999988</v>
      </c>
      <c r="F127" s="17">
        <v>21402954.399999991</v>
      </c>
      <c r="G127" s="17">
        <v>19347440.591999996</v>
      </c>
      <c r="H127" s="79">
        <v>18556039.552000005</v>
      </c>
      <c r="I127" s="17">
        <v>23650636.239999998</v>
      </c>
      <c r="J127" s="17">
        <f t="shared" si="33"/>
        <v>18556039.552000005</v>
      </c>
      <c r="K127" s="94">
        <f t="shared" si="34"/>
        <v>27.455194163190328</v>
      </c>
      <c r="L127" s="33"/>
      <c r="M127" s="33"/>
      <c r="N127" s="33"/>
      <c r="O127" s="33"/>
      <c r="P127" s="33"/>
      <c r="Q127" s="16"/>
    </row>
    <row r="128" spans="1:24" ht="15.6" x14ac:dyDescent="0.3">
      <c r="A128" s="13"/>
      <c r="B128" s="1" t="s">
        <v>144</v>
      </c>
      <c r="C128" s="1" t="s">
        <v>203</v>
      </c>
      <c r="D128" s="17">
        <v>24068160.223999988</v>
      </c>
      <c r="E128" s="17">
        <v>21402954.399999991</v>
      </c>
      <c r="F128" s="17">
        <v>19347440.591999996</v>
      </c>
      <c r="G128" s="17">
        <v>18556039.552000005</v>
      </c>
      <c r="H128" s="79">
        <v>20061147.615999997</v>
      </c>
      <c r="I128" s="17">
        <v>23736156.23</v>
      </c>
      <c r="J128" s="17">
        <f t="shared" si="33"/>
        <v>20061147.615999997</v>
      </c>
      <c r="K128" s="94">
        <f t="shared" si="34"/>
        <v>18.31903480471356</v>
      </c>
      <c r="L128" s="33"/>
      <c r="M128" s="33"/>
      <c r="N128" s="33"/>
      <c r="O128" s="33"/>
      <c r="P128" s="33"/>
      <c r="Q128" s="16"/>
    </row>
    <row r="129" spans="1:17" ht="15.6" x14ac:dyDescent="0.3">
      <c r="A129" s="2" t="s">
        <v>134</v>
      </c>
      <c r="B129" s="1" t="s">
        <v>145</v>
      </c>
      <c r="C129" s="1" t="s">
        <v>204</v>
      </c>
      <c r="D129" s="17">
        <v>26929203.224000007</v>
      </c>
      <c r="E129" s="17">
        <v>26205002.327999994</v>
      </c>
      <c r="F129" s="17">
        <v>27649232.464000002</v>
      </c>
      <c r="G129" s="17">
        <v>28487017.607999995</v>
      </c>
      <c r="H129" s="79">
        <v>22518592.687999986</v>
      </c>
      <c r="I129" s="17">
        <v>24054812.98</v>
      </c>
      <c r="J129" s="17">
        <f t="shared" si="33"/>
        <v>22518592.687999986</v>
      </c>
      <c r="K129" s="94">
        <f t="shared" si="34"/>
        <v>6.822008432252769</v>
      </c>
      <c r="L129" s="33"/>
      <c r="M129" s="33"/>
      <c r="N129" s="33"/>
      <c r="O129" s="33"/>
      <c r="P129" s="33"/>
      <c r="Q129" s="16"/>
    </row>
    <row r="130" spans="1:17" ht="15.6" x14ac:dyDescent="0.3">
      <c r="A130" s="13"/>
      <c r="B130" s="1" t="s">
        <v>146</v>
      </c>
      <c r="C130" s="1" t="s">
        <v>205</v>
      </c>
      <c r="D130" s="17">
        <v>23185442.671999995</v>
      </c>
      <c r="E130" s="17">
        <v>30488212.287999984</v>
      </c>
      <c r="F130" s="17">
        <v>31284871.175999995</v>
      </c>
      <c r="G130" s="17">
        <v>30880025.823999994</v>
      </c>
      <c r="H130" s="79">
        <v>25094944.103999987</v>
      </c>
      <c r="I130" s="17">
        <v>23807154.420000002</v>
      </c>
      <c r="J130" s="17">
        <f t="shared" si="33"/>
        <v>25094944.103999987</v>
      </c>
      <c r="K130" s="94">
        <f t="shared" si="34"/>
        <v>5.131669864109079</v>
      </c>
      <c r="L130" s="33"/>
      <c r="M130" s="33"/>
      <c r="N130" s="33"/>
      <c r="O130" s="33"/>
      <c r="P130" s="33"/>
      <c r="Q130" s="16"/>
    </row>
    <row r="131" spans="1:17" ht="15.6" x14ac:dyDescent="0.3">
      <c r="A131" s="13"/>
      <c r="B131" s="1" t="s">
        <v>147</v>
      </c>
      <c r="C131" s="1" t="s">
        <v>175</v>
      </c>
      <c r="D131" s="17">
        <v>33735338.095999993</v>
      </c>
      <c r="E131" s="17">
        <v>32642074.944000002</v>
      </c>
      <c r="F131" s="17">
        <v>31107022.223999999</v>
      </c>
      <c r="G131" s="17">
        <v>22935017.631999999</v>
      </c>
      <c r="H131" s="79">
        <v>23465166.680000011</v>
      </c>
      <c r="I131" s="17">
        <v>23758093.34</v>
      </c>
      <c r="J131" s="17">
        <f t="shared" si="33"/>
        <v>23465166.680000011</v>
      </c>
      <c r="K131" s="94">
        <f t="shared" si="34"/>
        <v>1.2483468112317233</v>
      </c>
      <c r="L131" s="33"/>
      <c r="M131" s="33"/>
      <c r="N131" s="33"/>
      <c r="O131" s="33"/>
      <c r="P131" s="33"/>
      <c r="Q131" s="16"/>
    </row>
    <row r="132" spans="1:17" ht="15.6" x14ac:dyDescent="0.3">
      <c r="A132" s="2" t="s">
        <v>135</v>
      </c>
      <c r="B132" s="21" t="s">
        <v>148</v>
      </c>
      <c r="C132" s="1" t="s">
        <v>206</v>
      </c>
      <c r="D132" s="17">
        <v>26571839.079999998</v>
      </c>
      <c r="E132" s="17">
        <v>21378547.239999987</v>
      </c>
      <c r="F132" s="17">
        <v>28930032.399999987</v>
      </c>
      <c r="G132" s="17">
        <v>29008866.071999986</v>
      </c>
      <c r="H132" s="79">
        <v>23458005.864</v>
      </c>
      <c r="I132" s="17">
        <v>23765307.84</v>
      </c>
      <c r="J132" s="17">
        <f t="shared" si="33"/>
        <v>23458005.864</v>
      </c>
      <c r="K132" s="94">
        <f t="shared" si="34"/>
        <v>1.3100089486788091</v>
      </c>
      <c r="L132" s="33"/>
      <c r="M132" s="33"/>
      <c r="N132" s="33"/>
      <c r="O132" s="33"/>
      <c r="P132" s="33"/>
      <c r="Q132" s="16"/>
    </row>
    <row r="133" spans="1:17" ht="15.6" x14ac:dyDescent="0.3">
      <c r="A133" s="13" t="s">
        <v>136</v>
      </c>
      <c r="B133" s="21" t="s">
        <v>149</v>
      </c>
      <c r="C133" s="1" t="s">
        <v>207</v>
      </c>
      <c r="D133" s="17">
        <v>27701895.935999997</v>
      </c>
      <c r="E133" s="17">
        <v>27860853.456</v>
      </c>
      <c r="F133" s="17">
        <v>25524164.023999993</v>
      </c>
      <c r="G133" s="17">
        <v>26210528.944000002</v>
      </c>
      <c r="H133" s="79">
        <v>20598511.239999998</v>
      </c>
      <c r="I133" s="17">
        <v>23821004.100000001</v>
      </c>
      <c r="J133" s="17">
        <f t="shared" si="33"/>
        <v>20598511.239999998</v>
      </c>
      <c r="K133" s="94">
        <f t="shared" si="34"/>
        <v>15.644299835331221</v>
      </c>
      <c r="L133" s="33"/>
      <c r="M133" s="33"/>
      <c r="N133" s="33"/>
      <c r="O133" s="33"/>
      <c r="P133" s="33"/>
      <c r="Q133" s="16"/>
    </row>
    <row r="134" spans="1:17" ht="15.6" x14ac:dyDescent="0.3">
      <c r="A134" s="13"/>
      <c r="B134" s="22" t="s">
        <v>29</v>
      </c>
      <c r="C134" s="1" t="s">
        <v>208</v>
      </c>
      <c r="D134" s="17">
        <v>32850749.392000001</v>
      </c>
      <c r="E134" s="17">
        <v>26168015.472000003</v>
      </c>
      <c r="F134" s="17">
        <v>25505982.400000006</v>
      </c>
      <c r="G134" s="17">
        <v>30188564.856000021</v>
      </c>
      <c r="H134" s="79">
        <v>23319885.640000015</v>
      </c>
      <c r="I134" s="17">
        <v>23768366.109999999</v>
      </c>
      <c r="J134" s="17">
        <f t="shared" si="33"/>
        <v>23319885.640000015</v>
      </c>
      <c r="K134" s="94">
        <f t="shared" si="34"/>
        <v>1.9231675357391831</v>
      </c>
      <c r="L134" s="33"/>
      <c r="M134" s="33"/>
      <c r="N134" s="33"/>
      <c r="O134" s="33"/>
      <c r="P134" s="33"/>
      <c r="Q134" s="16"/>
    </row>
    <row r="135" spans="1:17" ht="15.6" x14ac:dyDescent="0.3">
      <c r="A135" s="7"/>
      <c r="B135" s="21"/>
      <c r="C135" s="1"/>
      <c r="D135" s="17"/>
      <c r="E135" s="17"/>
      <c r="F135" s="17"/>
      <c r="G135" s="17"/>
      <c r="H135" s="79"/>
      <c r="I135" s="1"/>
      <c r="J135" s="1" t="s">
        <v>35</v>
      </c>
      <c r="K135" s="1">
        <f>SUM(K121:K134)/14</f>
        <v>8.4575254446992645</v>
      </c>
      <c r="L135" s="16"/>
      <c r="M135" s="16"/>
      <c r="N135" s="16"/>
      <c r="O135" s="16"/>
      <c r="P135" s="16"/>
      <c r="Q135" s="16"/>
    </row>
    <row r="137" spans="1:17" ht="15.6" x14ac:dyDescent="0.3">
      <c r="A137" s="34" t="s">
        <v>247</v>
      </c>
      <c r="B137" s="16"/>
      <c r="C137" s="16"/>
      <c r="D137" s="33"/>
      <c r="E137" s="33"/>
      <c r="F137" s="33"/>
      <c r="G137" s="33"/>
      <c r="H137" s="33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 ht="15.6" x14ac:dyDescent="0.3">
      <c r="A138" s="2" t="s">
        <v>123</v>
      </c>
      <c r="B138" s="2" t="s">
        <v>124</v>
      </c>
      <c r="C138" s="3" t="s">
        <v>125</v>
      </c>
      <c r="D138" s="107" t="s">
        <v>126</v>
      </c>
      <c r="E138" s="108"/>
      <c r="F138" s="108"/>
      <c r="G138" s="108"/>
      <c r="H138" s="108"/>
      <c r="I138" s="19" t="s">
        <v>254</v>
      </c>
      <c r="J138" s="98" t="s">
        <v>4</v>
      </c>
      <c r="K138" s="5" t="s">
        <v>5</v>
      </c>
      <c r="L138" s="83"/>
      <c r="M138" s="83"/>
      <c r="N138" s="83"/>
      <c r="O138" s="83"/>
      <c r="P138" s="81"/>
      <c r="Q138" s="81"/>
    </row>
    <row r="139" spans="1:17" ht="15.6" x14ac:dyDescent="0.3">
      <c r="A139" s="7"/>
      <c r="B139" s="7"/>
      <c r="C139" s="8"/>
      <c r="D139" s="9" t="s">
        <v>127</v>
      </c>
      <c r="E139" s="9" t="s">
        <v>128</v>
      </c>
      <c r="F139" s="9" t="s">
        <v>129</v>
      </c>
      <c r="G139" s="9" t="s">
        <v>130</v>
      </c>
      <c r="H139" s="23" t="s">
        <v>131</v>
      </c>
      <c r="I139" s="20" t="s">
        <v>255</v>
      </c>
      <c r="J139" s="100" t="s">
        <v>52</v>
      </c>
      <c r="K139" s="10" t="s">
        <v>6</v>
      </c>
      <c r="L139" s="83"/>
      <c r="M139" s="83"/>
      <c r="N139" s="83"/>
      <c r="O139" s="83"/>
      <c r="P139" s="81"/>
      <c r="Q139" s="81"/>
    </row>
    <row r="140" spans="1:17" ht="15.6" x14ac:dyDescent="0.3">
      <c r="A140" s="2" t="s">
        <v>132</v>
      </c>
      <c r="B140" s="1" t="s">
        <v>137</v>
      </c>
      <c r="C140" s="1" t="s">
        <v>196</v>
      </c>
      <c r="D140" s="17">
        <v>24649306.023999996</v>
      </c>
      <c r="E140" s="17">
        <v>26388463.711999997</v>
      </c>
      <c r="F140" s="17">
        <v>25474317.656000007</v>
      </c>
      <c r="G140" s="17">
        <v>25889710.648000002</v>
      </c>
      <c r="H140" s="79">
        <v>21383235.272000007</v>
      </c>
      <c r="I140" s="95">
        <v>24289374.609999999</v>
      </c>
      <c r="J140" s="95">
        <f>H140</f>
        <v>21383235.272000007</v>
      </c>
      <c r="K140" s="96">
        <f>ABS((I140-J140)/J140)*100</f>
        <v>13.590737327785929</v>
      </c>
      <c r="L140" s="33"/>
      <c r="M140" s="33"/>
      <c r="N140" s="33"/>
      <c r="O140" s="33"/>
      <c r="P140" s="33"/>
      <c r="Q140" s="16"/>
    </row>
    <row r="141" spans="1:17" ht="15.6" x14ac:dyDescent="0.3">
      <c r="A141" s="7"/>
      <c r="B141" s="1" t="s">
        <v>138</v>
      </c>
      <c r="C141" s="1" t="s">
        <v>197</v>
      </c>
      <c r="D141" s="17">
        <v>20767779.824000008</v>
      </c>
      <c r="E141" s="17">
        <v>29123880.240000013</v>
      </c>
      <c r="F141" s="17">
        <v>29726540.503999997</v>
      </c>
      <c r="G141" s="17">
        <v>29297503.66399999</v>
      </c>
      <c r="H141" s="79">
        <v>23369011.471999992</v>
      </c>
      <c r="I141" s="17">
        <v>24895690.260000002</v>
      </c>
      <c r="J141" s="17">
        <f t="shared" ref="J141:J153" si="35">H141</f>
        <v>23369011.471999992</v>
      </c>
      <c r="K141" s="94">
        <f t="shared" ref="K141:K153" si="36">ABS((I141-J141)/J141)*100</f>
        <v>6.5329198448519223</v>
      </c>
      <c r="L141" s="33"/>
      <c r="M141" s="33"/>
      <c r="N141" s="33"/>
      <c r="O141" s="33"/>
      <c r="P141" s="33"/>
      <c r="Q141" s="16"/>
    </row>
    <row r="142" spans="1:17" ht="15.6" x14ac:dyDescent="0.3">
      <c r="A142" s="2" t="s">
        <v>133</v>
      </c>
      <c r="B142" s="1" t="s">
        <v>139</v>
      </c>
      <c r="C142" s="1" t="s">
        <v>198</v>
      </c>
      <c r="D142" s="17">
        <v>22208042.696000002</v>
      </c>
      <c r="E142" s="17">
        <v>28933956.82399999</v>
      </c>
      <c r="F142" s="17">
        <v>29751614.272000015</v>
      </c>
      <c r="G142" s="17">
        <v>22312681.199999999</v>
      </c>
      <c r="H142" s="79">
        <v>20658324.559999991</v>
      </c>
      <c r="I142" s="17">
        <v>24087548.109999999</v>
      </c>
      <c r="J142" s="17">
        <f t="shared" si="35"/>
        <v>20658324.559999991</v>
      </c>
      <c r="K142" s="94">
        <f t="shared" si="36"/>
        <v>16.599717658807126</v>
      </c>
      <c r="L142" s="33"/>
      <c r="M142" s="33"/>
      <c r="N142" s="33"/>
      <c r="O142" s="33"/>
      <c r="P142" s="33"/>
      <c r="Q142" s="16"/>
    </row>
    <row r="143" spans="1:17" ht="15.6" x14ac:dyDescent="0.3">
      <c r="A143" s="13"/>
      <c r="B143" s="1" t="s">
        <v>140</v>
      </c>
      <c r="C143" s="1" t="s">
        <v>199</v>
      </c>
      <c r="D143" s="17">
        <v>27025283.271999992</v>
      </c>
      <c r="E143" s="17">
        <v>21083587.744000003</v>
      </c>
      <c r="F143" s="17">
        <v>28915431.056000009</v>
      </c>
      <c r="G143" s="17">
        <v>29089796.352000002</v>
      </c>
      <c r="H143" s="79">
        <v>23414288.264000002</v>
      </c>
      <c r="I143" s="17">
        <v>24602547.57</v>
      </c>
      <c r="J143" s="17">
        <f t="shared" si="35"/>
        <v>23414288.264000002</v>
      </c>
      <c r="K143" s="94">
        <f t="shared" si="36"/>
        <v>5.0749324199060686</v>
      </c>
      <c r="L143" s="33"/>
      <c r="M143" s="33"/>
      <c r="N143" s="33"/>
      <c r="O143" s="33"/>
      <c r="P143" s="33"/>
      <c r="Q143" s="16"/>
    </row>
    <row r="144" spans="1:17" ht="15.6" x14ac:dyDescent="0.3">
      <c r="A144" s="13"/>
      <c r="B144" s="1" t="s">
        <v>141</v>
      </c>
      <c r="C144" s="1" t="s">
        <v>200</v>
      </c>
      <c r="D144" s="17">
        <v>23272361.783999994</v>
      </c>
      <c r="E144" s="17">
        <v>30686317.911999989</v>
      </c>
      <c r="F144" s="17">
        <v>29710821.192000005</v>
      </c>
      <c r="G144" s="17">
        <v>29906453.991999999</v>
      </c>
      <c r="H144" s="79">
        <v>23798220.599999998</v>
      </c>
      <c r="I144" s="17">
        <v>24843549.829999998</v>
      </c>
      <c r="J144" s="17">
        <f t="shared" si="35"/>
        <v>23798220.599999998</v>
      </c>
      <c r="K144" s="94">
        <f t="shared" si="36"/>
        <v>4.3924680234286111</v>
      </c>
      <c r="L144" s="33"/>
      <c r="M144" s="33"/>
      <c r="N144" s="33"/>
      <c r="O144" s="33"/>
      <c r="P144" s="33"/>
      <c r="Q144" s="16"/>
    </row>
    <row r="145" spans="1:17" ht="15.6" x14ac:dyDescent="0.3">
      <c r="A145" s="13"/>
      <c r="B145" s="1" t="s">
        <v>142</v>
      </c>
      <c r="C145" s="1" t="s">
        <v>201</v>
      </c>
      <c r="D145" s="17">
        <v>27210185.296000004</v>
      </c>
      <c r="E145" s="17">
        <v>27031164.551999997</v>
      </c>
      <c r="F145" s="17">
        <v>27719443.167999998</v>
      </c>
      <c r="G145" s="17">
        <v>27294018.752000004</v>
      </c>
      <c r="H145" s="79">
        <v>25703679.503999997</v>
      </c>
      <c r="I145" s="17">
        <v>24774185.129999999</v>
      </c>
      <c r="J145" s="17">
        <f t="shared" si="35"/>
        <v>25703679.503999997</v>
      </c>
      <c r="K145" s="94">
        <f t="shared" si="36"/>
        <v>3.6161918913412783</v>
      </c>
      <c r="L145" s="33"/>
      <c r="M145" s="33"/>
      <c r="N145" s="33"/>
      <c r="O145" s="33"/>
      <c r="P145" s="33"/>
      <c r="Q145" s="16"/>
    </row>
    <row r="146" spans="1:17" ht="15.6" x14ac:dyDescent="0.3">
      <c r="A146" s="13"/>
      <c r="B146" s="1" t="s">
        <v>143</v>
      </c>
      <c r="C146" s="1" t="s">
        <v>202</v>
      </c>
      <c r="D146" s="17">
        <v>28152490.67200001</v>
      </c>
      <c r="E146" s="17">
        <v>24068160.223999988</v>
      </c>
      <c r="F146" s="17">
        <v>21402954.399999991</v>
      </c>
      <c r="G146" s="17">
        <v>19347440.591999996</v>
      </c>
      <c r="H146" s="79">
        <v>18556039.552000005</v>
      </c>
      <c r="I146" s="17">
        <v>23483690.02</v>
      </c>
      <c r="J146" s="17">
        <f t="shared" si="35"/>
        <v>18556039.552000005</v>
      </c>
      <c r="K146" s="94">
        <f t="shared" si="36"/>
        <v>26.555507462630317</v>
      </c>
      <c r="L146" s="33"/>
      <c r="M146" s="33"/>
      <c r="N146" s="33"/>
      <c r="O146" s="33"/>
      <c r="P146" s="33"/>
      <c r="Q146" s="16"/>
    </row>
    <row r="147" spans="1:17" ht="15.6" x14ac:dyDescent="0.3">
      <c r="A147" s="13"/>
      <c r="B147" s="1" t="s">
        <v>144</v>
      </c>
      <c r="C147" s="1" t="s">
        <v>203</v>
      </c>
      <c r="D147" s="17">
        <v>24068160.223999988</v>
      </c>
      <c r="E147" s="17">
        <v>21402954.399999991</v>
      </c>
      <c r="F147" s="17">
        <v>19347440.591999996</v>
      </c>
      <c r="G147" s="17">
        <v>18556039.552000005</v>
      </c>
      <c r="H147" s="79">
        <v>20061147.615999997</v>
      </c>
      <c r="I147" s="17">
        <v>22646785.600000001</v>
      </c>
      <c r="J147" s="17">
        <f t="shared" si="35"/>
        <v>20061147.615999997</v>
      </c>
      <c r="K147" s="94">
        <f t="shared" si="36"/>
        <v>12.888783999265325</v>
      </c>
      <c r="L147" s="33"/>
      <c r="M147" s="33"/>
      <c r="N147" s="33"/>
      <c r="O147" s="33"/>
      <c r="P147" s="33"/>
      <c r="Q147" s="16"/>
    </row>
    <row r="148" spans="1:17" ht="15.6" x14ac:dyDescent="0.3">
      <c r="A148" s="2" t="s">
        <v>134</v>
      </c>
      <c r="B148" s="1" t="s">
        <v>145</v>
      </c>
      <c r="C148" s="1" t="s">
        <v>204</v>
      </c>
      <c r="D148" s="17">
        <v>26929203.224000007</v>
      </c>
      <c r="E148" s="17">
        <v>26205002.327999994</v>
      </c>
      <c r="F148" s="17">
        <v>27649232.464000002</v>
      </c>
      <c r="G148" s="17">
        <v>28487017.607999995</v>
      </c>
      <c r="H148" s="79">
        <v>22518592.687999986</v>
      </c>
      <c r="I148" s="17">
        <v>25011752.09</v>
      </c>
      <c r="J148" s="17">
        <f t="shared" si="35"/>
        <v>22518592.687999986</v>
      </c>
      <c r="K148" s="94">
        <f t="shared" si="36"/>
        <v>11.071559562106216</v>
      </c>
      <c r="L148" s="33"/>
      <c r="M148" s="33"/>
      <c r="N148" s="33"/>
      <c r="O148" s="33"/>
      <c r="P148" s="33"/>
      <c r="Q148" s="16"/>
    </row>
    <row r="149" spans="1:17" ht="15.6" x14ac:dyDescent="0.3">
      <c r="A149" s="13"/>
      <c r="B149" s="1" t="s">
        <v>146</v>
      </c>
      <c r="C149" s="1" t="s">
        <v>205</v>
      </c>
      <c r="D149" s="17">
        <v>23185442.671999995</v>
      </c>
      <c r="E149" s="17">
        <v>30488212.287999984</v>
      </c>
      <c r="F149" s="17">
        <v>31284871.175999995</v>
      </c>
      <c r="G149" s="17">
        <v>30880025.823999994</v>
      </c>
      <c r="H149" s="79">
        <v>25094944.103999987</v>
      </c>
      <c r="I149" s="17">
        <v>24843549.829999998</v>
      </c>
      <c r="J149" s="17">
        <f t="shared" si="35"/>
        <v>25094944.103999987</v>
      </c>
      <c r="K149" s="94">
        <f t="shared" si="36"/>
        <v>1.0017725999234972</v>
      </c>
      <c r="L149" s="33"/>
      <c r="M149" s="33"/>
      <c r="N149" s="33"/>
      <c r="O149" s="33"/>
      <c r="P149" s="33"/>
      <c r="Q149" s="16"/>
    </row>
    <row r="150" spans="1:17" ht="15.6" x14ac:dyDescent="0.3">
      <c r="A150" s="13"/>
      <c r="B150" s="1" t="s">
        <v>147</v>
      </c>
      <c r="C150" s="1" t="s">
        <v>175</v>
      </c>
      <c r="D150" s="17">
        <v>33735338.095999993</v>
      </c>
      <c r="E150" s="17">
        <v>32642074.944000002</v>
      </c>
      <c r="F150" s="17">
        <v>31107022.223999999</v>
      </c>
      <c r="G150" s="17">
        <v>22935017.631999999</v>
      </c>
      <c r="H150" s="79">
        <v>23465166.680000011</v>
      </c>
      <c r="I150" s="17">
        <v>24513573.969999999</v>
      </c>
      <c r="J150" s="17">
        <f t="shared" si="35"/>
        <v>23465166.680000011</v>
      </c>
      <c r="K150" s="94">
        <f t="shared" si="36"/>
        <v>4.4679302913009931</v>
      </c>
      <c r="L150" s="33"/>
      <c r="M150" s="33"/>
      <c r="N150" s="33"/>
      <c r="O150" s="33"/>
      <c r="P150" s="33"/>
      <c r="Q150" s="16"/>
    </row>
    <row r="151" spans="1:17" ht="15.6" x14ac:dyDescent="0.3">
      <c r="A151" s="2" t="s">
        <v>135</v>
      </c>
      <c r="B151" s="21" t="s">
        <v>148</v>
      </c>
      <c r="C151" s="1" t="s">
        <v>206</v>
      </c>
      <c r="D151" s="17">
        <v>26571839.079999998</v>
      </c>
      <c r="E151" s="17">
        <v>21378547.239999987</v>
      </c>
      <c r="F151" s="17">
        <v>28930032.399999987</v>
      </c>
      <c r="G151" s="17">
        <v>29008866.071999986</v>
      </c>
      <c r="H151" s="79">
        <v>23458005.864</v>
      </c>
      <c r="I151" s="17">
        <v>24607848.079999998</v>
      </c>
      <c r="J151" s="17">
        <f t="shared" si="35"/>
        <v>23458005.864</v>
      </c>
      <c r="K151" s="94">
        <f t="shared" si="36"/>
        <v>4.9017048706796169</v>
      </c>
      <c r="L151" s="33"/>
      <c r="M151" s="33"/>
      <c r="N151" s="33"/>
      <c r="O151" s="33"/>
      <c r="P151" s="33"/>
      <c r="Q151" s="16"/>
    </row>
    <row r="152" spans="1:17" ht="15.6" x14ac:dyDescent="0.3">
      <c r="A152" s="13" t="s">
        <v>136</v>
      </c>
      <c r="B152" s="21" t="s">
        <v>149</v>
      </c>
      <c r="C152" s="1" t="s">
        <v>207</v>
      </c>
      <c r="D152" s="17">
        <v>27701895.935999997</v>
      </c>
      <c r="E152" s="17">
        <v>27860853.456</v>
      </c>
      <c r="F152" s="17">
        <v>25524164.023999993</v>
      </c>
      <c r="G152" s="17">
        <v>26210528.944000002</v>
      </c>
      <c r="H152" s="79">
        <v>20598511.239999998</v>
      </c>
      <c r="I152" s="17">
        <v>24625797.219999999</v>
      </c>
      <c r="J152" s="17">
        <f t="shared" si="35"/>
        <v>20598511.239999998</v>
      </c>
      <c r="K152" s="94">
        <f t="shared" si="36"/>
        <v>19.551344915546434</v>
      </c>
      <c r="L152" s="33"/>
      <c r="M152" s="33"/>
      <c r="N152" s="33"/>
      <c r="O152" s="33"/>
      <c r="P152" s="33"/>
      <c r="Q152" s="16"/>
    </row>
    <row r="153" spans="1:17" ht="15.6" x14ac:dyDescent="0.3">
      <c r="A153" s="13"/>
      <c r="B153" s="22" t="s">
        <v>29</v>
      </c>
      <c r="C153" s="1" t="s">
        <v>208</v>
      </c>
      <c r="D153" s="17">
        <v>32850749.392000001</v>
      </c>
      <c r="E153" s="17">
        <v>26168015.472000003</v>
      </c>
      <c r="F153" s="17">
        <v>25505982.400000006</v>
      </c>
      <c r="G153" s="17">
        <v>30188564.856000021</v>
      </c>
      <c r="H153" s="79">
        <v>23319885.640000015</v>
      </c>
      <c r="I153" s="17">
        <v>25216361.5</v>
      </c>
      <c r="J153" s="17">
        <f t="shared" si="35"/>
        <v>23319885.640000015</v>
      </c>
      <c r="K153" s="94">
        <f t="shared" si="36"/>
        <v>8.1324406529121518</v>
      </c>
      <c r="L153" s="33"/>
      <c r="M153" s="33"/>
      <c r="N153" s="33"/>
      <c r="O153" s="33"/>
      <c r="P153" s="33"/>
      <c r="Q153" s="16"/>
    </row>
    <row r="154" spans="1:17" ht="15.6" x14ac:dyDescent="0.3">
      <c r="A154" s="7"/>
      <c r="B154" s="1"/>
      <c r="C154" s="1"/>
      <c r="D154" s="17"/>
      <c r="E154" s="17"/>
      <c r="F154" s="17"/>
      <c r="G154" s="17"/>
      <c r="H154" s="79"/>
      <c r="I154" s="84"/>
      <c r="J154" s="1" t="s">
        <v>35</v>
      </c>
      <c r="K154" s="1">
        <f>SUM(K140:K153)/14</f>
        <v>9.8841436800346791</v>
      </c>
      <c r="L154" s="16"/>
      <c r="M154" s="16"/>
      <c r="N154" s="16"/>
      <c r="O154" s="16"/>
      <c r="P154" s="16"/>
      <c r="Q154" s="16"/>
    </row>
    <row r="156" spans="1:17" ht="15.6" x14ac:dyDescent="0.3">
      <c r="A156" s="34" t="s">
        <v>248</v>
      </c>
      <c r="B156" s="16"/>
      <c r="C156" s="16"/>
      <c r="D156" s="33"/>
      <c r="E156" s="33"/>
      <c r="F156" s="33"/>
      <c r="G156" s="33"/>
      <c r="H156" s="33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1:17" ht="15.6" x14ac:dyDescent="0.3">
      <c r="A157" s="2" t="s">
        <v>123</v>
      </c>
      <c r="B157" s="2" t="s">
        <v>124</v>
      </c>
      <c r="C157" s="3" t="s">
        <v>125</v>
      </c>
      <c r="D157" s="107" t="s">
        <v>126</v>
      </c>
      <c r="E157" s="108"/>
      <c r="F157" s="108"/>
      <c r="G157" s="108"/>
      <c r="H157" s="108"/>
      <c r="I157" s="19" t="s">
        <v>254</v>
      </c>
      <c r="J157" s="98" t="s">
        <v>4</v>
      </c>
      <c r="K157" s="5" t="s">
        <v>5</v>
      </c>
      <c r="L157" s="83"/>
      <c r="M157" s="83"/>
      <c r="N157" s="83"/>
      <c r="O157" s="83"/>
      <c r="P157" s="81"/>
      <c r="Q157" s="81"/>
    </row>
    <row r="158" spans="1:17" ht="15.6" x14ac:dyDescent="0.3">
      <c r="A158" s="7"/>
      <c r="B158" s="7"/>
      <c r="C158" s="8"/>
      <c r="D158" s="9" t="s">
        <v>127</v>
      </c>
      <c r="E158" s="9" t="s">
        <v>128</v>
      </c>
      <c r="F158" s="9" t="s">
        <v>129</v>
      </c>
      <c r="G158" s="9" t="s">
        <v>130</v>
      </c>
      <c r="H158" s="23" t="s">
        <v>131</v>
      </c>
      <c r="I158" s="20" t="s">
        <v>255</v>
      </c>
      <c r="J158" s="100" t="s">
        <v>52</v>
      </c>
      <c r="K158" s="10" t="s">
        <v>6</v>
      </c>
      <c r="L158" s="83"/>
      <c r="M158" s="83"/>
      <c r="N158" s="83"/>
      <c r="O158" s="83"/>
      <c r="P158" s="81"/>
      <c r="Q158" s="81"/>
    </row>
    <row r="159" spans="1:17" ht="15.6" x14ac:dyDescent="0.3">
      <c r="A159" s="2" t="s">
        <v>132</v>
      </c>
      <c r="B159" s="1" t="s">
        <v>137</v>
      </c>
      <c r="C159" s="1" t="s">
        <v>196</v>
      </c>
      <c r="D159" s="17">
        <v>24649306.023999996</v>
      </c>
      <c r="E159" s="17">
        <v>26388463.711999997</v>
      </c>
      <c r="F159" s="17">
        <v>25474317.656000007</v>
      </c>
      <c r="G159" s="17">
        <v>25889710.648000002</v>
      </c>
      <c r="H159" s="79">
        <v>21383235.272000007</v>
      </c>
      <c r="I159" s="95">
        <v>23761842.149999999</v>
      </c>
      <c r="J159" s="95">
        <f>H159</f>
        <v>21383235.272000007</v>
      </c>
      <c r="K159" s="96">
        <f>ABS((I159-J159)/J159)*100</f>
        <v>11.123699700927045</v>
      </c>
      <c r="L159" s="33"/>
      <c r="M159" s="33"/>
      <c r="N159" s="33"/>
      <c r="O159" s="33"/>
      <c r="P159" s="33"/>
      <c r="Q159" s="16"/>
    </row>
    <row r="160" spans="1:17" ht="15.6" x14ac:dyDescent="0.3">
      <c r="A160" s="7"/>
      <c r="B160" s="1" t="s">
        <v>138</v>
      </c>
      <c r="C160" s="1" t="s">
        <v>197</v>
      </c>
      <c r="D160" s="17">
        <v>20767779.824000008</v>
      </c>
      <c r="E160" s="17">
        <v>29123880.240000013</v>
      </c>
      <c r="F160" s="17">
        <v>29726540.503999997</v>
      </c>
      <c r="G160" s="17">
        <v>29297503.66399999</v>
      </c>
      <c r="H160" s="79">
        <v>23369011.471999992</v>
      </c>
      <c r="I160" s="17">
        <v>25450052.170000002</v>
      </c>
      <c r="J160" s="17">
        <f t="shared" ref="J160:J172" si="37">H160</f>
        <v>23369011.471999992</v>
      </c>
      <c r="K160" s="94">
        <f t="shared" ref="K160:K172" si="38">ABS((I160-J160)/J160)*100</f>
        <v>8.9051293440180253</v>
      </c>
      <c r="L160" s="33"/>
      <c r="M160" s="33"/>
      <c r="N160" s="33"/>
      <c r="O160" s="33"/>
      <c r="P160" s="33"/>
      <c r="Q160" s="16"/>
    </row>
    <row r="161" spans="1:17" ht="15.6" x14ac:dyDescent="0.3">
      <c r="A161" s="2" t="s">
        <v>133</v>
      </c>
      <c r="B161" s="1" t="s">
        <v>139</v>
      </c>
      <c r="C161" s="1" t="s">
        <v>198</v>
      </c>
      <c r="D161" s="17">
        <v>22208042.696000002</v>
      </c>
      <c r="E161" s="17">
        <v>28933956.82399999</v>
      </c>
      <c r="F161" s="17">
        <v>29751614.272000015</v>
      </c>
      <c r="G161" s="17">
        <v>22312681.199999999</v>
      </c>
      <c r="H161" s="79">
        <v>20658324.559999991</v>
      </c>
      <c r="I161" s="17">
        <v>23538736.960000001</v>
      </c>
      <c r="J161" s="17">
        <f t="shared" si="37"/>
        <v>20658324.559999991</v>
      </c>
      <c r="K161" s="94">
        <f t="shared" si="38"/>
        <v>13.943107494676765</v>
      </c>
      <c r="L161" s="33"/>
      <c r="M161" s="33"/>
      <c r="N161" s="33"/>
      <c r="O161" s="33"/>
      <c r="P161" s="33"/>
      <c r="Q161" s="16"/>
    </row>
    <row r="162" spans="1:17" ht="15.6" x14ac:dyDescent="0.3">
      <c r="A162" s="13"/>
      <c r="B162" s="1" t="s">
        <v>140</v>
      </c>
      <c r="C162" s="1" t="s">
        <v>199</v>
      </c>
      <c r="D162" s="17">
        <v>27025283.271999992</v>
      </c>
      <c r="E162" s="17">
        <v>21083587.744000003</v>
      </c>
      <c r="F162" s="17">
        <v>28915431.056000009</v>
      </c>
      <c r="G162" s="17">
        <v>29089796.352000002</v>
      </c>
      <c r="H162" s="79">
        <v>23414288.264000002</v>
      </c>
      <c r="I162" s="17">
        <v>25595987.280000001</v>
      </c>
      <c r="J162" s="17">
        <f t="shared" si="37"/>
        <v>23414288.264000002</v>
      </c>
      <c r="K162" s="94">
        <f t="shared" si="38"/>
        <v>9.3178105240739288</v>
      </c>
      <c r="L162" s="33"/>
      <c r="M162" s="33"/>
      <c r="N162" s="33"/>
      <c r="O162" s="33"/>
      <c r="P162" s="33"/>
      <c r="Q162" s="16"/>
    </row>
    <row r="163" spans="1:17" ht="15.6" x14ac:dyDescent="0.3">
      <c r="A163" s="13"/>
      <c r="B163" s="1" t="s">
        <v>141</v>
      </c>
      <c r="C163" s="1" t="s">
        <v>200</v>
      </c>
      <c r="D163" s="17">
        <v>23272361.783999994</v>
      </c>
      <c r="E163" s="17">
        <v>30686317.911999989</v>
      </c>
      <c r="F163" s="17">
        <v>29710821.192000005</v>
      </c>
      <c r="G163" s="17">
        <v>29906453.991999999</v>
      </c>
      <c r="H163" s="79">
        <v>23798220.599999998</v>
      </c>
      <c r="I163" s="17">
        <v>24520075.52</v>
      </c>
      <c r="J163" s="17">
        <f t="shared" si="37"/>
        <v>23798220.599999998</v>
      </c>
      <c r="K163" s="94">
        <f t="shared" si="38"/>
        <v>3.0332306441432086</v>
      </c>
      <c r="L163" s="33"/>
      <c r="M163" s="33"/>
      <c r="N163" s="33"/>
      <c r="O163" s="33"/>
      <c r="P163" s="33"/>
      <c r="Q163" s="16"/>
    </row>
    <row r="164" spans="1:17" ht="15.6" x14ac:dyDescent="0.3">
      <c r="A164" s="13"/>
      <c r="B164" s="1" t="s">
        <v>142</v>
      </c>
      <c r="C164" s="1" t="s">
        <v>201</v>
      </c>
      <c r="D164" s="17">
        <v>27210185.296000004</v>
      </c>
      <c r="E164" s="17">
        <v>27031164.551999997</v>
      </c>
      <c r="F164" s="17">
        <v>27719443.167999998</v>
      </c>
      <c r="G164" s="17">
        <v>27294018.752000004</v>
      </c>
      <c r="H164" s="79">
        <v>25703679.503999997</v>
      </c>
      <c r="I164" s="17">
        <v>23995249.600000001</v>
      </c>
      <c r="J164" s="17">
        <f t="shared" si="37"/>
        <v>25703679.503999997</v>
      </c>
      <c r="K164" s="94">
        <f t="shared" si="38"/>
        <v>6.64663556723126</v>
      </c>
      <c r="L164" s="33"/>
      <c r="M164" s="33"/>
      <c r="N164" s="33"/>
      <c r="O164" s="33"/>
      <c r="P164" s="33"/>
      <c r="Q164" s="16"/>
    </row>
    <row r="165" spans="1:17" ht="15.6" x14ac:dyDescent="0.3">
      <c r="A165" s="13"/>
      <c r="B165" s="1" t="s">
        <v>143</v>
      </c>
      <c r="C165" s="1" t="s">
        <v>202</v>
      </c>
      <c r="D165" s="17">
        <v>28152490.67200001</v>
      </c>
      <c r="E165" s="17">
        <v>24068160.223999988</v>
      </c>
      <c r="F165" s="17">
        <v>21402954.399999991</v>
      </c>
      <c r="G165" s="17">
        <v>19347440.591999996</v>
      </c>
      <c r="H165" s="79">
        <v>18556039.552000005</v>
      </c>
      <c r="I165" s="17">
        <v>23135450.379999999</v>
      </c>
      <c r="J165" s="17">
        <f t="shared" si="37"/>
        <v>18556039.552000005</v>
      </c>
      <c r="K165" s="94">
        <f t="shared" si="38"/>
        <v>24.678815838730074</v>
      </c>
      <c r="L165" s="33"/>
      <c r="M165" s="33"/>
      <c r="N165" s="33"/>
      <c r="O165" s="33"/>
      <c r="P165" s="33"/>
      <c r="Q165" s="16"/>
    </row>
    <row r="166" spans="1:17" ht="15.6" x14ac:dyDescent="0.3">
      <c r="A166" s="13"/>
      <c r="B166" s="1" t="s">
        <v>144</v>
      </c>
      <c r="C166" s="1" t="s">
        <v>203</v>
      </c>
      <c r="D166" s="17">
        <v>24068160.223999988</v>
      </c>
      <c r="E166" s="17">
        <v>21402954.399999991</v>
      </c>
      <c r="F166" s="17">
        <v>19347440.591999996</v>
      </c>
      <c r="G166" s="17">
        <v>18556039.552000005</v>
      </c>
      <c r="H166" s="79">
        <v>20061147.615999997</v>
      </c>
      <c r="I166" s="17">
        <v>22024929.379999999</v>
      </c>
      <c r="J166" s="17">
        <f t="shared" si="37"/>
        <v>20061147.615999997</v>
      </c>
      <c r="K166" s="94">
        <f t="shared" si="38"/>
        <v>9.7889801799462646</v>
      </c>
      <c r="L166" s="33"/>
      <c r="M166" s="33"/>
      <c r="N166" s="33"/>
      <c r="O166" s="33"/>
      <c r="P166" s="33"/>
      <c r="Q166" s="16"/>
    </row>
    <row r="167" spans="1:17" ht="15.6" x14ac:dyDescent="0.3">
      <c r="A167" s="2" t="s">
        <v>134</v>
      </c>
      <c r="B167" s="1" t="s">
        <v>145</v>
      </c>
      <c r="C167" s="1" t="s">
        <v>204</v>
      </c>
      <c r="D167" s="17">
        <v>26929203.224000007</v>
      </c>
      <c r="E167" s="17">
        <v>26205002.327999994</v>
      </c>
      <c r="F167" s="17">
        <v>27649232.464000002</v>
      </c>
      <c r="G167" s="17">
        <v>28487017.607999995</v>
      </c>
      <c r="H167" s="79">
        <v>22518592.687999986</v>
      </c>
      <c r="I167" s="17">
        <v>25275191.059999999</v>
      </c>
      <c r="J167" s="17">
        <f t="shared" si="37"/>
        <v>22518592.687999986</v>
      </c>
      <c r="K167" s="94">
        <f t="shared" si="38"/>
        <v>12.241432713816907</v>
      </c>
      <c r="L167" s="33"/>
      <c r="M167" s="33"/>
      <c r="N167" s="33"/>
      <c r="O167" s="33"/>
      <c r="P167" s="33"/>
      <c r="Q167" s="16"/>
    </row>
    <row r="168" spans="1:17" ht="15.6" x14ac:dyDescent="0.3">
      <c r="A168" s="13"/>
      <c r="B168" s="1" t="s">
        <v>146</v>
      </c>
      <c r="C168" s="1" t="s">
        <v>205</v>
      </c>
      <c r="D168" s="17">
        <v>23185442.671999995</v>
      </c>
      <c r="E168" s="17">
        <v>30488212.287999984</v>
      </c>
      <c r="F168" s="17">
        <v>31284871.175999995</v>
      </c>
      <c r="G168" s="17">
        <v>30880025.823999994</v>
      </c>
      <c r="H168" s="79">
        <v>25094944.103999987</v>
      </c>
      <c r="I168" s="17">
        <v>25968004.559999999</v>
      </c>
      <c r="J168" s="17">
        <f t="shared" si="37"/>
        <v>25094944.103999987</v>
      </c>
      <c r="K168" s="94">
        <f t="shared" si="38"/>
        <v>3.4790292912461629</v>
      </c>
      <c r="L168" s="33"/>
      <c r="M168" s="33"/>
      <c r="N168" s="33"/>
      <c r="O168" s="33"/>
      <c r="P168" s="33"/>
      <c r="Q168" s="16"/>
    </row>
    <row r="169" spans="1:17" ht="15.6" x14ac:dyDescent="0.3">
      <c r="A169" s="13"/>
      <c r="B169" s="1" t="s">
        <v>147</v>
      </c>
      <c r="C169" s="1" t="s">
        <v>175</v>
      </c>
      <c r="D169" s="17">
        <v>33735338.095999993</v>
      </c>
      <c r="E169" s="17">
        <v>32642074.944000002</v>
      </c>
      <c r="F169" s="17">
        <v>31107022.223999999</v>
      </c>
      <c r="G169" s="17">
        <v>22935017.631999999</v>
      </c>
      <c r="H169" s="79">
        <v>23465166.680000011</v>
      </c>
      <c r="I169" s="17">
        <v>25887002.73</v>
      </c>
      <c r="J169" s="17">
        <f t="shared" si="37"/>
        <v>23465166.680000011</v>
      </c>
      <c r="K169" s="94">
        <f t="shared" si="38"/>
        <v>10.320983792815694</v>
      </c>
      <c r="L169" s="33"/>
      <c r="M169" s="33"/>
      <c r="N169" s="33"/>
      <c r="O169" s="33"/>
      <c r="P169" s="33"/>
      <c r="Q169" s="16"/>
    </row>
    <row r="170" spans="1:17" ht="15.6" x14ac:dyDescent="0.3">
      <c r="A170" s="2" t="s">
        <v>135</v>
      </c>
      <c r="B170" s="21" t="s">
        <v>148</v>
      </c>
      <c r="C170" s="1" t="s">
        <v>206</v>
      </c>
      <c r="D170" s="17">
        <v>26571839.079999998</v>
      </c>
      <c r="E170" s="17">
        <v>21378547.239999987</v>
      </c>
      <c r="F170" s="17">
        <v>28930032.399999987</v>
      </c>
      <c r="G170" s="17">
        <v>29008866.071999986</v>
      </c>
      <c r="H170" s="79">
        <v>23458005.864</v>
      </c>
      <c r="I170" s="17">
        <v>25670596.260000002</v>
      </c>
      <c r="J170" s="17">
        <f t="shared" si="37"/>
        <v>23458005.864</v>
      </c>
      <c r="K170" s="94">
        <f t="shared" si="38"/>
        <v>9.4321333570624155</v>
      </c>
      <c r="L170" s="33"/>
      <c r="M170" s="33"/>
      <c r="N170" s="33"/>
      <c r="O170" s="33"/>
      <c r="P170" s="33"/>
      <c r="Q170" s="16"/>
    </row>
    <row r="171" spans="1:17" ht="15.6" x14ac:dyDescent="0.3">
      <c r="A171" s="13" t="s">
        <v>136</v>
      </c>
      <c r="B171" s="21" t="s">
        <v>149</v>
      </c>
      <c r="C171" s="1" t="s">
        <v>207</v>
      </c>
      <c r="D171" s="17">
        <v>27701895.935999997</v>
      </c>
      <c r="E171" s="17">
        <v>27860853.456</v>
      </c>
      <c r="F171" s="17">
        <v>25524164.023999993</v>
      </c>
      <c r="G171" s="17">
        <v>26210528.944000002</v>
      </c>
      <c r="H171" s="79">
        <v>20598511.239999998</v>
      </c>
      <c r="I171" s="17">
        <v>25332612.350000001</v>
      </c>
      <c r="J171" s="17">
        <f t="shared" si="37"/>
        <v>20598511.239999998</v>
      </c>
      <c r="K171" s="94">
        <f t="shared" si="38"/>
        <v>22.982734309491793</v>
      </c>
      <c r="L171" s="33"/>
      <c r="M171" s="33"/>
      <c r="N171" s="33"/>
      <c r="O171" s="33"/>
      <c r="P171" s="33"/>
      <c r="Q171" s="16"/>
    </row>
    <row r="172" spans="1:17" ht="15.6" x14ac:dyDescent="0.3">
      <c r="A172" s="13"/>
      <c r="B172" s="22" t="s">
        <v>29</v>
      </c>
      <c r="C172" s="1" t="s">
        <v>208</v>
      </c>
      <c r="D172" s="17">
        <v>32850749.392000001</v>
      </c>
      <c r="E172" s="17">
        <v>26168015.472000003</v>
      </c>
      <c r="F172" s="17">
        <v>25505982.400000006</v>
      </c>
      <c r="G172" s="17">
        <v>30188564.856000021</v>
      </c>
      <c r="H172" s="79">
        <v>23319885.640000015</v>
      </c>
      <c r="I172" s="17">
        <v>26490709.07</v>
      </c>
      <c r="J172" s="17">
        <f t="shared" si="37"/>
        <v>23319885.640000015</v>
      </c>
      <c r="K172" s="94">
        <f t="shared" si="38"/>
        <v>13.597079672471251</v>
      </c>
      <c r="L172" s="33"/>
      <c r="M172" s="33"/>
      <c r="N172" s="33"/>
      <c r="O172" s="33"/>
      <c r="P172" s="33"/>
      <c r="Q172" s="16"/>
    </row>
    <row r="173" spans="1:17" ht="15.6" x14ac:dyDescent="0.3">
      <c r="A173" s="7"/>
      <c r="B173" s="1"/>
      <c r="C173" s="1"/>
      <c r="D173" s="17"/>
      <c r="E173" s="17"/>
      <c r="F173" s="17"/>
      <c r="G173" s="17"/>
      <c r="H173" s="79"/>
      <c r="I173" s="84"/>
      <c r="J173" s="1" t="s">
        <v>35</v>
      </c>
      <c r="K173" s="1">
        <f>SUM(K159:K172)/14</f>
        <v>11.392200173617912</v>
      </c>
      <c r="L173" s="16"/>
      <c r="M173" s="16"/>
      <c r="N173" s="16"/>
      <c r="O173" s="16"/>
      <c r="P173" s="16"/>
      <c r="Q173" s="16"/>
    </row>
  </sheetData>
  <mergeCells count="34">
    <mergeCell ref="K61:K62"/>
    <mergeCell ref="L61:L62"/>
    <mergeCell ref="B20:O20"/>
    <mergeCell ref="D23:H23"/>
    <mergeCell ref="I23:I24"/>
    <mergeCell ref="J23:J24"/>
    <mergeCell ref="K23:K24"/>
    <mergeCell ref="L23:L24"/>
    <mergeCell ref="D4:H4"/>
    <mergeCell ref="I4:I5"/>
    <mergeCell ref="J4:J5"/>
    <mergeCell ref="K4:K5"/>
    <mergeCell ref="L4:L5"/>
    <mergeCell ref="J100:J101"/>
    <mergeCell ref="K100:K101"/>
    <mergeCell ref="L100:L101"/>
    <mergeCell ref="D42:H42"/>
    <mergeCell ref="I42:I43"/>
    <mergeCell ref="J42:J43"/>
    <mergeCell ref="K42:K43"/>
    <mergeCell ref="L42:L43"/>
    <mergeCell ref="D80:H80"/>
    <mergeCell ref="I80:I81"/>
    <mergeCell ref="J80:J81"/>
    <mergeCell ref="K80:K81"/>
    <mergeCell ref="L80:L81"/>
    <mergeCell ref="D61:H61"/>
    <mergeCell ref="I61:I62"/>
    <mergeCell ref="J61:J62"/>
    <mergeCell ref="D157:H157"/>
    <mergeCell ref="D138:H138"/>
    <mergeCell ref="D119:H119"/>
    <mergeCell ref="D100:H100"/>
    <mergeCell ref="I100:I101"/>
  </mergeCells>
  <pageMargins left="0.7" right="0.7" top="0.75" bottom="0.75" header="0.3" footer="0.3"/>
  <pageSetup scale="56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1:S18"/>
  <sheetViews>
    <sheetView workbookViewId="0">
      <selection activeCell="B2" sqref="B2"/>
    </sheetView>
  </sheetViews>
  <sheetFormatPr defaultRowHeight="14.4" x14ac:dyDescent="0.3"/>
  <cols>
    <col min="3" max="3" width="11.21875" bestFit="1" customWidth="1"/>
    <col min="4" max="4" width="8.77734375" customWidth="1"/>
    <col min="6" max="6" width="11.21875" bestFit="1" customWidth="1"/>
    <col min="10" max="10" width="12.44140625" customWidth="1"/>
    <col min="13" max="13" width="15.21875" customWidth="1"/>
    <col min="16" max="16" width="12.44140625" customWidth="1"/>
    <col min="19" max="19" width="12.33203125" customWidth="1"/>
  </cols>
  <sheetData>
    <row r="1" spans="2:19" x14ac:dyDescent="0.3">
      <c r="B1" s="120" t="s">
        <v>249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</row>
    <row r="3" spans="2:19" x14ac:dyDescent="0.3">
      <c r="B3" s="121" t="s">
        <v>112</v>
      </c>
      <c r="C3" s="122"/>
      <c r="D3" s="123"/>
      <c r="E3" s="124" t="s">
        <v>113</v>
      </c>
      <c r="F3" s="125"/>
      <c r="G3" s="126"/>
      <c r="H3" s="127" t="s">
        <v>64</v>
      </c>
      <c r="I3" s="128"/>
      <c r="J3" s="129"/>
      <c r="K3" s="130" t="s">
        <v>53</v>
      </c>
      <c r="L3" s="131"/>
      <c r="M3" s="132"/>
      <c r="N3" s="114" t="s">
        <v>114</v>
      </c>
      <c r="O3" s="115"/>
      <c r="P3" s="116"/>
      <c r="Q3" s="117" t="s">
        <v>57</v>
      </c>
      <c r="R3" s="118"/>
      <c r="S3" s="119"/>
    </row>
    <row r="4" spans="2:19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</row>
    <row r="5" spans="2:19" x14ac:dyDescent="0.3">
      <c r="B5" s="54">
        <f>'2023a'!L6</f>
        <v>-11.285594342161463</v>
      </c>
      <c r="C5" s="60">
        <f>'2023a'!M6</f>
        <v>-12</v>
      </c>
      <c r="D5" s="54">
        <f>ABS(B5-C5)</f>
        <v>0.71440565783853671</v>
      </c>
      <c r="E5" s="56">
        <f>'2023a'!L25</f>
        <v>-11.285594342161463</v>
      </c>
      <c r="F5" s="61">
        <f>'2023a'!M25</f>
        <v>-12</v>
      </c>
      <c r="G5" s="56">
        <f>ABS(F5-E5)</f>
        <v>0.71440565783853671</v>
      </c>
      <c r="H5" s="57">
        <f>'2023a'!L44</f>
        <v>-11.285594342161463</v>
      </c>
      <c r="I5" s="57">
        <f>'2023a'!M44</f>
        <v>-11.933400000000001</v>
      </c>
      <c r="J5" s="57">
        <f>ABS(I5-H5)</f>
        <v>0.64780565783853739</v>
      </c>
      <c r="K5" s="59">
        <f>'2023a'!L63</f>
        <v>-11.285594342161463</v>
      </c>
      <c r="L5" s="59">
        <f>'2023a'!M63</f>
        <v>-12.010300000000001</v>
      </c>
      <c r="M5" s="59">
        <f>ABS(L5-K5)</f>
        <v>0.72470565783853758</v>
      </c>
      <c r="N5" s="58">
        <f>'2023a'!L82</f>
        <v>-11.285594342161463</v>
      </c>
      <c r="O5" s="58">
        <f>'2023a'!M82</f>
        <v>-11.9009</v>
      </c>
      <c r="P5" s="58">
        <f>ABS(O5-N5)</f>
        <v>0.61530565783853675</v>
      </c>
      <c r="Q5" s="55">
        <f>'2023a'!L102</f>
        <v>-11.285594342161463</v>
      </c>
      <c r="R5" s="55">
        <f>'2023a'!M102</f>
        <v>-11.894600000000001</v>
      </c>
      <c r="S5" s="55">
        <f>ABS(R5-Q5)</f>
        <v>0.60900565783853722</v>
      </c>
    </row>
    <row r="6" spans="2:19" x14ac:dyDescent="0.3">
      <c r="B6" s="54">
        <f>'2023a'!L7</f>
        <v>-9.2225478365592721</v>
      </c>
      <c r="C6" s="54">
        <f>'2023a'!M7</f>
        <v>-4.7676999999999996</v>
      </c>
      <c r="D6" s="54">
        <f t="shared" ref="D6:D18" si="0">ABS(B6-C6)</f>
        <v>4.4548478365592725</v>
      </c>
      <c r="E6" s="56">
        <f>'2023a'!L26</f>
        <v>-9.2225478365592721</v>
      </c>
      <c r="F6" s="56">
        <f>'2023a'!M26</f>
        <v>-6</v>
      </c>
      <c r="G6" s="56">
        <f t="shared" ref="G6:G18" si="1">ABS(F6-E6)</f>
        <v>3.2225478365592721</v>
      </c>
      <c r="H6" s="57">
        <f>'2023a'!L45</f>
        <v>-9.2225478365592721</v>
      </c>
      <c r="I6" s="57">
        <f>'2023a'!M45</f>
        <v>-6</v>
      </c>
      <c r="J6" s="57">
        <f t="shared" ref="J6:J18" si="2">ABS(I6-H6)</f>
        <v>3.2225478365592721</v>
      </c>
      <c r="K6" s="59">
        <f>'2023a'!L64</f>
        <v>-9.2225478365592721</v>
      </c>
      <c r="L6" s="59">
        <f>'2023a'!M64</f>
        <v>-6</v>
      </c>
      <c r="M6" s="59">
        <f t="shared" ref="M6:M18" si="3">ABS(L6-K6)</f>
        <v>3.2225478365592721</v>
      </c>
      <c r="N6" s="58">
        <f>'2023a'!L83</f>
        <v>-9.2225478365592721</v>
      </c>
      <c r="O6" s="58">
        <f>'2023a'!M83</f>
        <v>-6</v>
      </c>
      <c r="P6" s="58">
        <f t="shared" ref="P6:P18" si="4">ABS(O6-N6)</f>
        <v>3.2225478365592721</v>
      </c>
      <c r="Q6" s="55">
        <f>'2023a'!L103</f>
        <v>-9.2225478365592721</v>
      </c>
      <c r="R6" s="55">
        <f>'2023a'!M103</f>
        <v>-6</v>
      </c>
      <c r="S6" s="55">
        <f t="shared" ref="S6:S18" si="5">ABS(R6-Q6)</f>
        <v>3.2225478365592721</v>
      </c>
    </row>
    <row r="7" spans="2:19" x14ac:dyDescent="0.3">
      <c r="B7" s="54">
        <f>'2023a'!L8</f>
        <v>-13.704771216322449</v>
      </c>
      <c r="C7" s="54">
        <f>'2023a'!M8</f>
        <v>0</v>
      </c>
      <c r="D7" s="54">
        <f t="shared" si="0"/>
        <v>13.704771216322449</v>
      </c>
      <c r="E7" s="56">
        <f>'2023a'!L27</f>
        <v>-13.704771216322449</v>
      </c>
      <c r="F7" s="56">
        <f>'2023a'!M27</f>
        <v>0</v>
      </c>
      <c r="G7" s="56">
        <f t="shared" si="1"/>
        <v>13.704771216322449</v>
      </c>
      <c r="H7" s="57">
        <f>'2023a'!L46</f>
        <v>-13.704771216322449</v>
      </c>
      <c r="I7" s="57">
        <f>'2023a'!M46</f>
        <v>0</v>
      </c>
      <c r="J7" s="57">
        <f t="shared" si="2"/>
        <v>13.704771216322449</v>
      </c>
      <c r="K7" s="59">
        <f>'2023a'!L65</f>
        <v>-13.704771216322449</v>
      </c>
      <c r="L7" s="59">
        <f>'2023a'!M65</f>
        <v>0</v>
      </c>
      <c r="M7" s="59">
        <f t="shared" si="3"/>
        <v>13.704771216322449</v>
      </c>
      <c r="N7" s="58">
        <f>'2023a'!L84</f>
        <v>-13.704771216322449</v>
      </c>
      <c r="O7" s="58">
        <f>'2023a'!M84</f>
        <v>0</v>
      </c>
      <c r="P7" s="58">
        <f t="shared" si="4"/>
        <v>13.704771216322449</v>
      </c>
      <c r="Q7" s="55">
        <f>'2023a'!L104</f>
        <v>-13.704771216322449</v>
      </c>
      <c r="R7" s="55">
        <f>'2023a'!M104</f>
        <v>0</v>
      </c>
      <c r="S7" s="55">
        <f t="shared" si="5"/>
        <v>13.704771216322449</v>
      </c>
    </row>
    <row r="8" spans="2:19" x14ac:dyDescent="0.3">
      <c r="B8" s="54">
        <f>'2023a'!L9</f>
        <v>-10.053035803806043</v>
      </c>
      <c r="C8" s="54">
        <f>'2023a'!M9</f>
        <v>-9</v>
      </c>
      <c r="D8" s="54">
        <f t="shared" si="0"/>
        <v>1.0530358038060434</v>
      </c>
      <c r="E8" s="56">
        <f>'2023a'!L28</f>
        <v>-10.053035803806043</v>
      </c>
      <c r="F8" s="56">
        <f>'2023a'!M28</f>
        <v>-9</v>
      </c>
      <c r="G8" s="56">
        <f t="shared" si="1"/>
        <v>1.0530358038060434</v>
      </c>
      <c r="H8" s="57">
        <f>'2023a'!L47</f>
        <v>-10.053035803806043</v>
      </c>
      <c r="I8" s="57">
        <f>'2023a'!M47</f>
        <v>-9</v>
      </c>
      <c r="J8" s="57">
        <f t="shared" si="2"/>
        <v>1.0530358038060434</v>
      </c>
      <c r="K8" s="59">
        <f>'2023a'!L66</f>
        <v>-10.053035803806043</v>
      </c>
      <c r="L8" s="59">
        <f>'2023a'!M66</f>
        <v>-9</v>
      </c>
      <c r="M8" s="59">
        <f t="shared" si="3"/>
        <v>1.0530358038060434</v>
      </c>
      <c r="N8" s="58">
        <f>'2023a'!L85</f>
        <v>-10.053035803806043</v>
      </c>
      <c r="O8" s="58">
        <f>'2023a'!M85</f>
        <v>-9</v>
      </c>
      <c r="P8" s="58">
        <f t="shared" si="4"/>
        <v>1.0530358038060434</v>
      </c>
      <c r="Q8" s="55">
        <f>'2023a'!L105</f>
        <v>-10.053035803806043</v>
      </c>
      <c r="R8" s="55">
        <f>'2023a'!M105</f>
        <v>-9</v>
      </c>
      <c r="S8" s="55">
        <f t="shared" si="5"/>
        <v>1.0530358038060434</v>
      </c>
    </row>
    <row r="9" spans="2:19" x14ac:dyDescent="0.3">
      <c r="B9" s="54">
        <f>'2023a'!L10</f>
        <v>-11.667396906310753</v>
      </c>
      <c r="C9" s="54">
        <f>'2023a'!M10</f>
        <v>-9</v>
      </c>
      <c r="D9" s="54">
        <f t="shared" si="0"/>
        <v>2.6673969063107528</v>
      </c>
      <c r="E9" s="56">
        <f>'2023a'!L29</f>
        <v>-11.667396906310753</v>
      </c>
      <c r="F9" s="56">
        <f>'2023a'!M29</f>
        <v>-9</v>
      </c>
      <c r="G9" s="56">
        <f t="shared" si="1"/>
        <v>2.6673969063107528</v>
      </c>
      <c r="H9" s="57">
        <f>'2023a'!L48</f>
        <v>-11.667396906310753</v>
      </c>
      <c r="I9" s="57">
        <f>'2023a'!M48</f>
        <v>-9</v>
      </c>
      <c r="J9" s="57">
        <f t="shared" si="2"/>
        <v>2.6673969063107528</v>
      </c>
      <c r="K9" s="59">
        <f>'2023a'!L67</f>
        <v>-11.667396906310753</v>
      </c>
      <c r="L9" s="59">
        <f>'2023a'!M67</f>
        <v>-9</v>
      </c>
      <c r="M9" s="59">
        <f t="shared" si="3"/>
        <v>2.6673969063107528</v>
      </c>
      <c r="N9" s="58">
        <f>'2023a'!L86</f>
        <v>-11.667396906310753</v>
      </c>
      <c r="O9" s="58">
        <f>'2023a'!M86</f>
        <v>-9</v>
      </c>
      <c r="P9" s="58">
        <f t="shared" si="4"/>
        <v>2.6673969063107528</v>
      </c>
      <c r="Q9" s="55">
        <f>'2023a'!L106</f>
        <v>-11.667396906310753</v>
      </c>
      <c r="R9" s="55">
        <f>'2023a'!M106</f>
        <v>-9</v>
      </c>
      <c r="S9" s="55">
        <f t="shared" si="5"/>
        <v>2.6673969063107528</v>
      </c>
    </row>
    <row r="10" spans="2:19" x14ac:dyDescent="0.3">
      <c r="B10" s="54">
        <f>'2023a'!L11</f>
        <v>-3.7583994625957722</v>
      </c>
      <c r="C10" s="54">
        <f>'2023a'!M11</f>
        <v>-4.5</v>
      </c>
      <c r="D10" s="54">
        <f t="shared" si="0"/>
        <v>0.74160053740422782</v>
      </c>
      <c r="E10" s="56">
        <f>'2023a'!L30</f>
        <v>-3.7583994625957722</v>
      </c>
      <c r="F10" s="56">
        <f>'2023a'!M30</f>
        <v>-4.5</v>
      </c>
      <c r="G10" s="56">
        <f t="shared" si="1"/>
        <v>0.74160053740422782</v>
      </c>
      <c r="H10" s="57">
        <f>'2023a'!L49</f>
        <v>-3.7583994625957722</v>
      </c>
      <c r="I10" s="57">
        <f>'2023a'!M49</f>
        <v>-4.5</v>
      </c>
      <c r="J10" s="57">
        <f t="shared" si="2"/>
        <v>0.74160053740422782</v>
      </c>
      <c r="K10" s="59">
        <f>'2023a'!L68</f>
        <v>-3.7583994625957722</v>
      </c>
      <c r="L10" s="59">
        <f>'2023a'!M68</f>
        <v>-4.5</v>
      </c>
      <c r="M10" s="59">
        <f t="shared" si="3"/>
        <v>0.74160053740422782</v>
      </c>
      <c r="N10" s="58">
        <f>'2023a'!L87</f>
        <v>-3.7583994625957722</v>
      </c>
      <c r="O10" s="58">
        <f>'2023a'!M87</f>
        <v>-4.5</v>
      </c>
      <c r="P10" s="58">
        <f t="shared" si="4"/>
        <v>0.74160053740422782</v>
      </c>
      <c r="Q10" s="55">
        <f>'2023a'!L107</f>
        <v>-3.7583994625957722</v>
      </c>
      <c r="R10" s="55">
        <f>'2023a'!M107</f>
        <v>-4.5</v>
      </c>
      <c r="S10" s="55">
        <f t="shared" si="5"/>
        <v>0.74160053740422782</v>
      </c>
    </row>
    <row r="11" spans="2:19" x14ac:dyDescent="0.3">
      <c r="B11" s="54">
        <f>'2023a'!L12</f>
        <v>-15.60298592672655</v>
      </c>
      <c r="C11" s="54">
        <f>'2023a'!M12</f>
        <v>-6</v>
      </c>
      <c r="D11" s="54">
        <f t="shared" si="0"/>
        <v>9.60298592672655</v>
      </c>
      <c r="E11" s="56">
        <f>'2023a'!L31</f>
        <v>-15.60298592672655</v>
      </c>
      <c r="F11" s="56">
        <f>'2023a'!M31</f>
        <v>-6</v>
      </c>
      <c r="G11" s="56">
        <f t="shared" si="1"/>
        <v>9.60298592672655</v>
      </c>
      <c r="H11" s="57">
        <f>'2023a'!L50</f>
        <v>-15.60298592672655</v>
      </c>
      <c r="I11" s="57">
        <f>'2023a'!M50</f>
        <v>-6</v>
      </c>
      <c r="J11" s="57">
        <f t="shared" si="2"/>
        <v>9.60298592672655</v>
      </c>
      <c r="K11" s="59">
        <f>'2023a'!L69</f>
        <v>-15.60298592672655</v>
      </c>
      <c r="L11" s="59">
        <f>'2023a'!M69</f>
        <v>-6</v>
      </c>
      <c r="M11" s="59">
        <f t="shared" si="3"/>
        <v>9.60298592672655</v>
      </c>
      <c r="N11" s="58">
        <f>'2023a'!L88</f>
        <v>-15.60298592672655</v>
      </c>
      <c r="O11" s="58">
        <f>'2023a'!M88</f>
        <v>-6</v>
      </c>
      <c r="P11" s="58">
        <f t="shared" si="4"/>
        <v>9.60298592672655</v>
      </c>
      <c r="Q11" s="55">
        <f>'2023a'!L108</f>
        <v>-15.60298592672655</v>
      </c>
      <c r="R11" s="55">
        <f>'2023a'!M108</f>
        <v>-6</v>
      </c>
      <c r="S11" s="55">
        <f t="shared" si="5"/>
        <v>9.60298592672655</v>
      </c>
    </row>
    <row r="12" spans="2:19" x14ac:dyDescent="0.3">
      <c r="B12" s="54">
        <f>'2023a'!L13</f>
        <v>-1.5371636490252283</v>
      </c>
      <c r="C12" s="60">
        <f>'2023a'!M13</f>
        <v>0</v>
      </c>
      <c r="D12" s="54">
        <f t="shared" si="0"/>
        <v>1.5371636490252283</v>
      </c>
      <c r="E12" s="56">
        <f>'2023a'!L32</f>
        <v>-1.5371636490252283</v>
      </c>
      <c r="F12" s="61">
        <f>'2023a'!M32</f>
        <v>0</v>
      </c>
      <c r="G12" s="56">
        <f t="shared" si="1"/>
        <v>1.5371636490252283</v>
      </c>
      <c r="H12" s="57">
        <f>'2023a'!L51</f>
        <v>-1.5371636490252283</v>
      </c>
      <c r="I12" s="57">
        <f>'2023a'!M51</f>
        <v>0</v>
      </c>
      <c r="J12" s="57">
        <f t="shared" si="2"/>
        <v>1.5371636490252283</v>
      </c>
      <c r="K12" s="59">
        <f>'2023a'!L70</f>
        <v>-1.5371636490252283</v>
      </c>
      <c r="L12" s="59">
        <f>'2023a'!M70</f>
        <v>0</v>
      </c>
      <c r="M12" s="59">
        <f t="shared" si="3"/>
        <v>1.5371636490252283</v>
      </c>
      <c r="N12" s="58">
        <f>'2023a'!L89</f>
        <v>-1.5371636490252283</v>
      </c>
      <c r="O12" s="58">
        <f>'2023a'!M89</f>
        <v>0</v>
      </c>
      <c r="P12" s="58">
        <f t="shared" si="4"/>
        <v>1.5371636490252283</v>
      </c>
      <c r="Q12" s="55">
        <f>'2023a'!L109</f>
        <v>-1.5371636490252283</v>
      </c>
      <c r="R12" s="55">
        <f>'2023a'!M109</f>
        <v>0</v>
      </c>
      <c r="S12" s="55">
        <f t="shared" si="5"/>
        <v>1.5371636490252283</v>
      </c>
    </row>
    <row r="13" spans="2:19" x14ac:dyDescent="0.3">
      <c r="B13" s="54">
        <f>'2023a'!L14</f>
        <v>-9.4613272688321093</v>
      </c>
      <c r="C13" s="54">
        <f>'2023a'!M14</f>
        <v>-4.5</v>
      </c>
      <c r="D13" s="54">
        <f t="shared" si="0"/>
        <v>4.9613272688321093</v>
      </c>
      <c r="E13" s="56">
        <f>'2023a'!L33</f>
        <v>-9.4613272688321093</v>
      </c>
      <c r="F13" s="56">
        <f>'2023a'!M33</f>
        <v>-4.5</v>
      </c>
      <c r="G13" s="56">
        <f t="shared" si="1"/>
        <v>4.9613272688321093</v>
      </c>
      <c r="H13" s="57">
        <f>'2023a'!L52</f>
        <v>-9.4613272688321093</v>
      </c>
      <c r="I13" s="57">
        <f>'2023a'!M52</f>
        <v>-4.5</v>
      </c>
      <c r="J13" s="57">
        <f t="shared" si="2"/>
        <v>4.9613272688321093</v>
      </c>
      <c r="K13" s="59">
        <f>'2023a'!L71</f>
        <v>-9.4613272688321093</v>
      </c>
      <c r="L13" s="59">
        <f>'2023a'!M71</f>
        <v>-4.5</v>
      </c>
      <c r="M13" s="59">
        <f t="shared" si="3"/>
        <v>4.9613272688321093</v>
      </c>
      <c r="N13" s="58">
        <f>'2023a'!L90</f>
        <v>-9.4613272688321093</v>
      </c>
      <c r="O13" s="58">
        <f>'2023a'!M90</f>
        <v>-4.5</v>
      </c>
      <c r="P13" s="58">
        <f t="shared" si="4"/>
        <v>4.9613272688321093</v>
      </c>
      <c r="Q13" s="55">
        <f>'2023a'!L110</f>
        <v>-9.4613272688321093</v>
      </c>
      <c r="R13" s="55">
        <f>'2023a'!M110</f>
        <v>-4.5</v>
      </c>
      <c r="S13" s="55">
        <f t="shared" si="5"/>
        <v>4.9613272688321093</v>
      </c>
    </row>
    <row r="14" spans="2:19" x14ac:dyDescent="0.3">
      <c r="B14" s="54">
        <f>'2023a'!L15</f>
        <v>-6.7784571089971246</v>
      </c>
      <c r="C14" s="54">
        <f>'2023a'!M15</f>
        <v>-5.00054</v>
      </c>
      <c r="D14" s="54">
        <f t="shared" si="0"/>
        <v>1.7779171089971246</v>
      </c>
      <c r="E14" s="56">
        <f>'2023a'!L34</f>
        <v>-6.7784571089971246</v>
      </c>
      <c r="F14" s="56">
        <f>'2023a'!M34</f>
        <v>-4.8235999999999999</v>
      </c>
      <c r="G14" s="56">
        <f t="shared" si="1"/>
        <v>1.9548571089971247</v>
      </c>
      <c r="H14" s="57">
        <f>'2023a'!L53</f>
        <v>-6.7784571089971246</v>
      </c>
      <c r="I14" s="57">
        <f>'2023a'!M53</f>
        <v>-4.7571000000000003</v>
      </c>
      <c r="J14" s="57">
        <f t="shared" si="2"/>
        <v>2.0213571089971243</v>
      </c>
      <c r="K14" s="59">
        <f>'2023a'!L72</f>
        <v>-6.7784571089971246</v>
      </c>
      <c r="L14" s="59">
        <f>'2023a'!M72</f>
        <v>-4.8234000000000004</v>
      </c>
      <c r="M14" s="59">
        <f t="shared" si="3"/>
        <v>1.9550571089971243</v>
      </c>
      <c r="N14" s="58">
        <f>'2023a'!L91</f>
        <v>-6.7784571089971246</v>
      </c>
      <c r="O14" s="58">
        <f>'2023a'!M91</f>
        <v>-4.7640000000000002</v>
      </c>
      <c r="P14" s="58">
        <f t="shared" si="4"/>
        <v>2.0144571089971244</v>
      </c>
      <c r="Q14" s="55">
        <f>'2023a'!L111</f>
        <v>-6.7784571089971246</v>
      </c>
      <c r="R14" s="55">
        <f>'2023a'!M111</f>
        <v>-4.8019999999999996</v>
      </c>
      <c r="S14" s="55">
        <f t="shared" si="5"/>
        <v>1.976457108997125</v>
      </c>
    </row>
    <row r="15" spans="2:19" x14ac:dyDescent="0.3">
      <c r="B15" s="54">
        <f>'2023a'!L16</f>
        <v>-13.272881311933039</v>
      </c>
      <c r="C15" s="54">
        <f>'2023a'!M16</f>
        <v>-4.5</v>
      </c>
      <c r="D15" s="54">
        <f t="shared" si="0"/>
        <v>8.7728813119330393</v>
      </c>
      <c r="E15" s="56">
        <f>'2023a'!L35</f>
        <v>-13.272881311933039</v>
      </c>
      <c r="F15" s="56">
        <f>'2023a'!M35</f>
        <v>-4.5</v>
      </c>
      <c r="G15" s="56">
        <f t="shared" si="1"/>
        <v>8.7728813119330393</v>
      </c>
      <c r="H15" s="57">
        <f>'2023a'!L54</f>
        <v>-13.272881311933039</v>
      </c>
      <c r="I15" s="57">
        <f>'2023a'!M54</f>
        <v>-4.5</v>
      </c>
      <c r="J15" s="57">
        <f t="shared" si="2"/>
        <v>8.7728813119330393</v>
      </c>
      <c r="K15" s="59">
        <f>'2023a'!L73</f>
        <v>-13.272881311933039</v>
      </c>
      <c r="L15" s="59">
        <f>'2023a'!M73</f>
        <v>-4.5</v>
      </c>
      <c r="M15" s="59">
        <f t="shared" si="3"/>
        <v>8.7728813119330393</v>
      </c>
      <c r="N15" s="58">
        <f>'2023a'!L92</f>
        <v>-13.272881311933039</v>
      </c>
      <c r="O15" s="58">
        <f>'2023a'!M92</f>
        <v>-4.5</v>
      </c>
      <c r="P15" s="58">
        <f t="shared" si="4"/>
        <v>8.7728813119330393</v>
      </c>
      <c r="Q15" s="55">
        <f>'2023a'!L112</f>
        <v>-13.272881311933039</v>
      </c>
      <c r="R15" s="55">
        <f>'2023a'!M112</f>
        <v>-4.5</v>
      </c>
      <c r="S15" s="55">
        <f t="shared" si="5"/>
        <v>8.7728813119330393</v>
      </c>
    </row>
    <row r="16" spans="2:19" x14ac:dyDescent="0.3">
      <c r="B16" s="54">
        <f>'2023a'!L17</f>
        <v>-9.644728439746526</v>
      </c>
      <c r="C16" s="60">
        <f>'2023a'!M17</f>
        <v>0</v>
      </c>
      <c r="D16" s="54">
        <f t="shared" si="0"/>
        <v>9.644728439746526</v>
      </c>
      <c r="E16" s="56">
        <f>'2023a'!L36</f>
        <v>-9.644728439746526</v>
      </c>
      <c r="F16" s="61">
        <f>'2023a'!M36</f>
        <v>0</v>
      </c>
      <c r="G16" s="56">
        <f t="shared" si="1"/>
        <v>9.644728439746526</v>
      </c>
      <c r="H16" s="57">
        <f>'2023a'!L55</f>
        <v>-9.644728439746526</v>
      </c>
      <c r="I16" s="57">
        <f>'2023a'!M55</f>
        <v>0</v>
      </c>
      <c r="J16" s="57">
        <f t="shared" si="2"/>
        <v>9.644728439746526</v>
      </c>
      <c r="K16" s="59">
        <f>'2023a'!L74</f>
        <v>-9.644728439746526</v>
      </c>
      <c r="L16" s="59">
        <f>'2023a'!M74</f>
        <v>0</v>
      </c>
      <c r="M16" s="59">
        <f t="shared" si="3"/>
        <v>9.644728439746526</v>
      </c>
      <c r="N16" s="58">
        <f>'2023a'!L93</f>
        <v>-9.644728439746526</v>
      </c>
      <c r="O16" s="58">
        <f>'2023a'!M93</f>
        <v>0</v>
      </c>
      <c r="P16" s="58">
        <f t="shared" si="4"/>
        <v>9.644728439746526</v>
      </c>
      <c r="Q16" s="55">
        <f>'2023a'!L113</f>
        <v>-9.644728439746526</v>
      </c>
      <c r="R16" s="55">
        <f>'2023a'!M113</f>
        <v>0</v>
      </c>
      <c r="S16" s="55">
        <f t="shared" si="5"/>
        <v>9.644728439746526</v>
      </c>
    </row>
    <row r="17" spans="2:19" x14ac:dyDescent="0.3">
      <c r="B17" s="54">
        <f>'2023a'!L18</f>
        <v>-11.306996025795833</v>
      </c>
      <c r="C17" s="60">
        <f>'2023a'!M18</f>
        <v>0</v>
      </c>
      <c r="D17" s="54">
        <f t="shared" si="0"/>
        <v>11.306996025795833</v>
      </c>
      <c r="E17" s="56">
        <f>'2023a'!L37</f>
        <v>-11.306996025795833</v>
      </c>
      <c r="F17" s="61">
        <f>'2023a'!M37</f>
        <v>0</v>
      </c>
      <c r="G17" s="56">
        <f t="shared" si="1"/>
        <v>11.306996025795833</v>
      </c>
      <c r="H17" s="57">
        <f>'2023a'!L56</f>
        <v>-11.306996025795833</v>
      </c>
      <c r="I17" s="57">
        <f>'2023a'!M56</f>
        <v>0</v>
      </c>
      <c r="J17" s="57">
        <f t="shared" si="2"/>
        <v>11.306996025795833</v>
      </c>
      <c r="K17" s="59">
        <f>'2023a'!L75</f>
        <v>-11.306996025795833</v>
      </c>
      <c r="L17" s="59">
        <f>'2023a'!M75</f>
        <v>0</v>
      </c>
      <c r="M17" s="59">
        <f t="shared" si="3"/>
        <v>11.306996025795833</v>
      </c>
      <c r="N17" s="58">
        <f>'2023a'!L94</f>
        <v>-11.306996025795833</v>
      </c>
      <c r="O17" s="58">
        <f>'2023a'!M94</f>
        <v>0</v>
      </c>
      <c r="P17" s="58">
        <f t="shared" si="4"/>
        <v>11.306996025795833</v>
      </c>
      <c r="Q17" s="55">
        <f>'2023a'!L114</f>
        <v>-11.306996025795833</v>
      </c>
      <c r="R17" s="55">
        <f>'2023a'!M114</f>
        <v>0</v>
      </c>
      <c r="S17" s="55">
        <f t="shared" si="5"/>
        <v>11.306996025795833</v>
      </c>
    </row>
    <row r="18" spans="2:19" x14ac:dyDescent="0.3">
      <c r="B18" s="54">
        <f>'2023a'!L19</f>
        <v>-15.889039480123463</v>
      </c>
      <c r="C18" s="54">
        <f>'2023a'!M19</f>
        <v>-6.41</v>
      </c>
      <c r="D18" s="54">
        <f t="shared" si="0"/>
        <v>9.479039480123463</v>
      </c>
      <c r="E18" s="56">
        <f>'2023a'!L38</f>
        <v>-15.889039480123463</v>
      </c>
      <c r="F18" s="56">
        <f>'2023a'!M38</f>
        <v>-6</v>
      </c>
      <c r="G18" s="56">
        <f t="shared" si="1"/>
        <v>9.8890394801234631</v>
      </c>
      <c r="H18" s="57">
        <f>'2023a'!L57</f>
        <v>-15.889039480123463</v>
      </c>
      <c r="I18" s="57">
        <f>'2023a'!M57</f>
        <v>-6</v>
      </c>
      <c r="J18" s="57">
        <f t="shared" si="2"/>
        <v>9.8890394801234631</v>
      </c>
      <c r="K18" s="59">
        <f>'2023a'!L76</f>
        <v>-15.889039480123463</v>
      </c>
      <c r="L18" s="59">
        <f>'2023a'!M76</f>
        <v>-6</v>
      </c>
      <c r="M18" s="59">
        <f t="shared" si="3"/>
        <v>9.8890394801234631</v>
      </c>
      <c r="N18" s="58">
        <f>'2023a'!L95</f>
        <v>-15.889039480123463</v>
      </c>
      <c r="O18" s="58">
        <f>'2023a'!M95</f>
        <v>-6</v>
      </c>
      <c r="P18" s="58">
        <f t="shared" si="4"/>
        <v>9.8890394801234631</v>
      </c>
      <c r="Q18" s="55">
        <f>'2023a'!L115</f>
        <v>-15.889039480123463</v>
      </c>
      <c r="R18" s="55">
        <f>'2023a'!M115</f>
        <v>-6.12</v>
      </c>
      <c r="S18" s="55">
        <f t="shared" si="5"/>
        <v>9.7690394801234639</v>
      </c>
    </row>
  </sheetData>
  <mergeCells count="7">
    <mergeCell ref="N3:P3"/>
    <mergeCell ref="Q3:S3"/>
    <mergeCell ref="B1:S1"/>
    <mergeCell ref="B3:D3"/>
    <mergeCell ref="E3:G3"/>
    <mergeCell ref="H3:J3"/>
    <mergeCell ref="K3:M3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X205"/>
  <sheetViews>
    <sheetView topLeftCell="A38" zoomScale="60" zoomScaleNormal="60" workbookViewId="0">
      <selection activeCell="M45" sqref="M45"/>
    </sheetView>
  </sheetViews>
  <sheetFormatPr defaultRowHeight="14.4" x14ac:dyDescent="0.3"/>
  <cols>
    <col min="1" max="1" width="22.44140625" customWidth="1"/>
    <col min="2" max="2" width="31.44140625" customWidth="1"/>
    <col min="3" max="3" width="22.109375" customWidth="1"/>
    <col min="4" max="4" width="15" customWidth="1"/>
    <col min="5" max="5" width="17.33203125" customWidth="1"/>
    <col min="6" max="6" width="15.44140625" customWidth="1"/>
    <col min="7" max="8" width="15.88671875" customWidth="1"/>
    <col min="9" max="9" width="15.5546875" customWidth="1"/>
    <col min="10" max="10" width="17.44140625" customWidth="1"/>
    <col min="11" max="11" width="12.109375" customWidth="1"/>
    <col min="12" max="12" width="12.6640625" customWidth="1"/>
    <col min="13" max="13" width="14.33203125" customWidth="1"/>
    <col min="14" max="14" width="12.88671875" customWidth="1"/>
    <col min="15" max="15" width="16.109375" customWidth="1"/>
    <col min="16" max="16" width="13.5546875" customWidth="1"/>
    <col min="17" max="17" width="11.5546875" customWidth="1"/>
    <col min="18" max="18" width="13.33203125" customWidth="1"/>
    <col min="19" max="19" width="13.6640625" customWidth="1"/>
    <col min="20" max="20" width="15.5546875" customWidth="1"/>
    <col min="21" max="21" width="14.6640625" customWidth="1"/>
    <col min="22" max="22" width="18.33203125" customWidth="1"/>
    <col min="23" max="23" width="14" customWidth="1"/>
  </cols>
  <sheetData>
    <row r="1" spans="1:22" x14ac:dyDescent="0.3">
      <c r="A1" s="18" t="s">
        <v>214</v>
      </c>
    </row>
    <row r="2" spans="1:22" x14ac:dyDescent="0.3">
      <c r="A2" s="18"/>
    </row>
    <row r="3" spans="1:22" x14ac:dyDescent="0.3">
      <c r="A3" s="28" t="s">
        <v>195</v>
      </c>
    </row>
    <row r="4" spans="1:22" ht="15.6" x14ac:dyDescent="0.3">
      <c r="A4" s="2" t="s">
        <v>123</v>
      </c>
      <c r="B4" s="2" t="s">
        <v>124</v>
      </c>
      <c r="C4" s="3" t="s">
        <v>125</v>
      </c>
      <c r="D4" s="107" t="s">
        <v>126</v>
      </c>
      <c r="E4" s="108"/>
      <c r="F4" s="108"/>
      <c r="G4" s="108"/>
      <c r="H4" s="108"/>
      <c r="I4" s="109" t="s">
        <v>25</v>
      </c>
      <c r="J4" s="109" t="s">
        <v>26</v>
      </c>
      <c r="K4" s="109" t="s">
        <v>28</v>
      </c>
      <c r="L4" s="109" t="s">
        <v>27</v>
      </c>
      <c r="M4" s="5" t="s">
        <v>0</v>
      </c>
      <c r="N4" s="4" t="s">
        <v>2</v>
      </c>
      <c r="O4" s="19" t="s">
        <v>3</v>
      </c>
      <c r="P4" s="6" t="s">
        <v>4</v>
      </c>
      <c r="Q4" s="5" t="s">
        <v>5</v>
      </c>
      <c r="R4" s="35"/>
      <c r="V4" t="s">
        <v>5</v>
      </c>
    </row>
    <row r="5" spans="1:22" ht="15.6" x14ac:dyDescent="0.3">
      <c r="A5" s="7"/>
      <c r="B5" s="7"/>
      <c r="C5" s="8"/>
      <c r="D5" s="9" t="s">
        <v>127</v>
      </c>
      <c r="E5" s="9" t="s">
        <v>128</v>
      </c>
      <c r="F5" s="9" t="s">
        <v>129</v>
      </c>
      <c r="G5" s="9" t="s">
        <v>130</v>
      </c>
      <c r="H5" s="9" t="s">
        <v>131</v>
      </c>
      <c r="I5" s="110"/>
      <c r="J5" s="110"/>
      <c r="K5" s="110"/>
      <c r="L5" s="110"/>
      <c r="M5" s="10" t="s">
        <v>1</v>
      </c>
      <c r="N5" s="11" t="s">
        <v>26</v>
      </c>
      <c r="O5" s="20" t="s">
        <v>51</v>
      </c>
      <c r="P5" s="12" t="s">
        <v>52</v>
      </c>
      <c r="Q5" s="10" t="s">
        <v>6</v>
      </c>
      <c r="V5" s="1"/>
    </row>
    <row r="6" spans="1:22" ht="15.6" x14ac:dyDescent="0.3">
      <c r="A6" s="2" t="s">
        <v>132</v>
      </c>
      <c r="B6" s="1" t="s">
        <v>137</v>
      </c>
      <c r="C6" s="1" t="s">
        <v>215</v>
      </c>
      <c r="D6" s="48">
        <v>31962075.063999999</v>
      </c>
      <c r="E6" s="48">
        <v>31389832.191999998</v>
      </c>
      <c r="F6" s="48">
        <v>30887111.496000003</v>
      </c>
      <c r="G6" s="48">
        <v>27674658.719999999</v>
      </c>
      <c r="H6" s="48">
        <v>25001165.223999992</v>
      </c>
      <c r="I6" s="38">
        <f t="shared" ref="I6:I19" si="0">(D6+E6+F6+G6)/4</f>
        <v>30478419.368000001</v>
      </c>
      <c r="J6" s="1">
        <f>((H6-I6)/I6)*100</f>
        <v>-17.9709258471281</v>
      </c>
      <c r="K6" s="1">
        <f>('2020a'!J5+'2021a'!J5+'2022a'!J5+'2023a'!J6)/4</f>
        <v>-8.0090081078371149</v>
      </c>
      <c r="L6" s="1">
        <f>J6-K6</f>
        <v>-9.9619177392909855</v>
      </c>
      <c r="M6" s="52">
        <v>-13.752700000000001</v>
      </c>
      <c r="N6" s="1">
        <f>M6+K6</f>
        <v>-21.761708107837116</v>
      </c>
      <c r="O6" s="38">
        <f>I6+((N6*I6)/100)</f>
        <v>23845794.709253348</v>
      </c>
      <c r="P6" s="38">
        <f>H6</f>
        <v>25001165.223999992</v>
      </c>
      <c r="Q6" s="102">
        <f>ABS((O6-H6)/H6)*100</f>
        <v>4.6212666665533648</v>
      </c>
      <c r="V6" s="47">
        <f>(O6-P6)</f>
        <v>-1155370.5147466436</v>
      </c>
    </row>
    <row r="7" spans="1:22" ht="15.6" x14ac:dyDescent="0.3">
      <c r="A7" s="7"/>
      <c r="B7" s="1" t="s">
        <v>138</v>
      </c>
      <c r="C7" s="1" t="s">
        <v>216</v>
      </c>
      <c r="D7" s="17">
        <v>27235140.030000001</v>
      </c>
      <c r="E7" s="17">
        <v>28261723.059999999</v>
      </c>
      <c r="F7" s="17">
        <v>29261317.649999999</v>
      </c>
      <c r="G7" s="17">
        <v>25243722.100000001</v>
      </c>
      <c r="H7" s="17">
        <v>24512817.800000001</v>
      </c>
      <c r="I7" s="38">
        <f t="shared" si="0"/>
        <v>27500475.710000001</v>
      </c>
      <c r="J7" s="1">
        <f>((H7-I7)/I7)*100</f>
        <v>-10.864022650028552</v>
      </c>
      <c r="K7" s="1">
        <f>('2020a'!J6+'2021a'!J6+'2022a'!J6+'2023a'!J7)/4</f>
        <v>-7.2588762167099778</v>
      </c>
      <c r="L7" s="1">
        <f t="shared" ref="L7:L19" si="1">J7-K7</f>
        <v>-3.6051464333185743</v>
      </c>
      <c r="M7" s="51">
        <v>-8.6270000000000007</v>
      </c>
      <c r="N7" s="1">
        <f t="shared" ref="N7:N19" si="2">M7+K7</f>
        <v>-15.885876216709978</v>
      </c>
      <c r="O7" s="38">
        <f t="shared" ref="O7:O19" si="3">I7+((N7*I7)/100)</f>
        <v>23131784.179703005</v>
      </c>
      <c r="P7" s="38">
        <f t="shared" ref="P7:P19" si="4">H7</f>
        <v>24512817.800000001</v>
      </c>
      <c r="Q7" s="102">
        <f t="shared" ref="Q7:Q19" si="5">ABS((O7-H7)/H7)*100</f>
        <v>5.633924388313269</v>
      </c>
      <c r="V7" s="47">
        <f t="shared" ref="V7:V19" si="6">(O7-P7)</f>
        <v>-1381033.6202969961</v>
      </c>
    </row>
    <row r="8" spans="1:22" ht="15.6" x14ac:dyDescent="0.3">
      <c r="A8" s="2" t="s">
        <v>133</v>
      </c>
      <c r="B8" s="1" t="s">
        <v>139</v>
      </c>
      <c r="C8" s="1" t="s">
        <v>217</v>
      </c>
      <c r="D8" s="17">
        <v>31957263.199999999</v>
      </c>
      <c r="E8" s="17">
        <v>31021032.050000001</v>
      </c>
      <c r="F8" s="17">
        <v>30016114.25</v>
      </c>
      <c r="G8" s="17">
        <v>25024126.18</v>
      </c>
      <c r="H8" s="17">
        <v>24126175.350000001</v>
      </c>
      <c r="I8" s="38">
        <f t="shared" si="0"/>
        <v>29504633.920000002</v>
      </c>
      <c r="J8" s="1">
        <f t="shared" ref="J8:J19" si="7">((H8-I8)/I8)*100</f>
        <v>-18.229199469423545</v>
      </c>
      <c r="K8" s="1">
        <f>('2020a'!J7+'2021a'!J7+'2022a'!J7+'2023a'!J8)/4</f>
        <v>-9.6552800346627414</v>
      </c>
      <c r="L8" s="1">
        <f t="shared" si="1"/>
        <v>-8.5739194347608034</v>
      </c>
      <c r="M8" s="52">
        <v>0</v>
      </c>
      <c r="N8" s="1">
        <f t="shared" si="2"/>
        <v>-9.6552800346627414</v>
      </c>
      <c r="O8" s="38">
        <f t="shared" si="3"/>
        <v>26655878.89182191</v>
      </c>
      <c r="P8" s="38">
        <f t="shared" si="4"/>
        <v>24126175.350000001</v>
      </c>
      <c r="Q8" s="102">
        <f t="shared" si="5"/>
        <v>10.485306954473032</v>
      </c>
      <c r="V8" s="47">
        <f t="shared" si="6"/>
        <v>2529703.5418219082</v>
      </c>
    </row>
    <row r="9" spans="1:22" ht="15.6" x14ac:dyDescent="0.3">
      <c r="A9" s="13"/>
      <c r="B9" s="1" t="s">
        <v>140</v>
      </c>
      <c r="C9" s="1" t="s">
        <v>218</v>
      </c>
      <c r="D9" s="17">
        <v>30050152.559999999</v>
      </c>
      <c r="E9" s="17">
        <v>26598716.23</v>
      </c>
      <c r="F9" s="17">
        <v>26845795.579999998</v>
      </c>
      <c r="G9" s="17">
        <v>27003129.120000001</v>
      </c>
      <c r="H9" s="17">
        <v>25429718.52</v>
      </c>
      <c r="I9" s="38">
        <f t="shared" si="0"/>
        <v>27624448.372500002</v>
      </c>
      <c r="J9" s="1">
        <f t="shared" si="7"/>
        <v>-7.9448820946768484</v>
      </c>
      <c r="K9" s="1">
        <f>('2020a'!J8+'2021a'!J8+'2022a'!J8+'2023a'!J9)/4</f>
        <v>-4.1994223233244732</v>
      </c>
      <c r="L9" s="1">
        <f t="shared" si="1"/>
        <v>-3.7454597713523752</v>
      </c>
      <c r="M9" s="52">
        <v>-12</v>
      </c>
      <c r="N9" s="1">
        <f t="shared" si="2"/>
        <v>-16.199422323324473</v>
      </c>
      <c r="O9" s="38">
        <f t="shared" si="3"/>
        <v>23149447.316149995</v>
      </c>
      <c r="P9" s="38">
        <f t="shared" si="4"/>
        <v>25429718.52</v>
      </c>
      <c r="Q9" s="102">
        <f t="shared" si="5"/>
        <v>8.9669541645009332</v>
      </c>
      <c r="V9" s="47">
        <f t="shared" si="6"/>
        <v>-2280271.2038500048</v>
      </c>
    </row>
    <row r="10" spans="1:22" ht="15.6" x14ac:dyDescent="0.3">
      <c r="A10" s="13"/>
      <c r="B10" s="1" t="s">
        <v>141</v>
      </c>
      <c r="C10" s="1" t="s">
        <v>219</v>
      </c>
      <c r="D10" s="17">
        <v>30101526.079999998</v>
      </c>
      <c r="E10" s="17">
        <v>28313128.739999998</v>
      </c>
      <c r="F10" s="17">
        <v>28015138.359999999</v>
      </c>
      <c r="G10" s="17">
        <v>24826248.280000001</v>
      </c>
      <c r="H10" s="17">
        <v>24516278.84</v>
      </c>
      <c r="I10" s="38">
        <f t="shared" si="0"/>
        <v>27814010.364999998</v>
      </c>
      <c r="J10" s="1">
        <f t="shared" si="7"/>
        <v>-11.856368361571217</v>
      </c>
      <c r="K10" s="1">
        <f>('2020a'!J9+'2021a'!J9+'2022a'!J9+'2023a'!J10)/4</f>
        <v>-7.4351603774193862</v>
      </c>
      <c r="L10" s="1">
        <f t="shared" si="1"/>
        <v>-4.421207984151831</v>
      </c>
      <c r="M10" s="51">
        <v>-13.663399999999999</v>
      </c>
      <c r="N10" s="1">
        <f t="shared" si="2"/>
        <v>-21.098560377419386</v>
      </c>
      <c r="O10" s="38">
        <f t="shared" si="3"/>
        <v>21945654.594758786</v>
      </c>
      <c r="P10" s="38">
        <f t="shared" si="4"/>
        <v>24516278.84</v>
      </c>
      <c r="Q10" s="102">
        <f t="shared" si="5"/>
        <v>10.485376928602488</v>
      </c>
      <c r="V10" s="47">
        <f t="shared" si="6"/>
        <v>-2570624.2452412136</v>
      </c>
    </row>
    <row r="11" spans="1:22" ht="15.6" x14ac:dyDescent="0.3">
      <c r="A11" s="13"/>
      <c r="B11" s="1" t="s">
        <v>142</v>
      </c>
      <c r="C11" s="1" t="s">
        <v>220</v>
      </c>
      <c r="D11" s="48">
        <v>22303982.776000001</v>
      </c>
      <c r="E11" s="48">
        <v>29489179.431999993</v>
      </c>
      <c r="F11" s="48">
        <v>31781409.335999999</v>
      </c>
      <c r="G11" s="48">
        <v>29018456.952000003</v>
      </c>
      <c r="H11" s="48">
        <v>23904977.280000001</v>
      </c>
      <c r="I11" s="38">
        <f t="shared" si="0"/>
        <v>28148257.123999998</v>
      </c>
      <c r="J11" s="1">
        <f t="shared" si="7"/>
        <v>-15.074751610045714</v>
      </c>
      <c r="K11" s="1">
        <f>('2020a'!J10+'2021a'!J10+'2022a'!J10+'2023a'!J11)/4</f>
        <v>-3.0757634413158739</v>
      </c>
      <c r="L11" s="1">
        <f t="shared" si="1"/>
        <v>-11.998988168729841</v>
      </c>
      <c r="M11" s="52">
        <v>-10.934200000000001</v>
      </c>
      <c r="N11" s="1">
        <f t="shared" si="2"/>
        <v>-14.009963441315875</v>
      </c>
      <c r="O11" s="38">
        <f t="shared" si="3"/>
        <v>24204696.591560006</v>
      </c>
      <c r="P11" s="38">
        <f t="shared" si="4"/>
        <v>23904977.280000001</v>
      </c>
      <c r="Q11" s="102">
        <f t="shared" si="5"/>
        <v>1.2537945886723927</v>
      </c>
      <c r="V11" s="47">
        <f t="shared" si="6"/>
        <v>299719.31156000495</v>
      </c>
    </row>
    <row r="12" spans="1:22" ht="15.6" x14ac:dyDescent="0.3">
      <c r="A12" s="13"/>
      <c r="B12" s="1" t="s">
        <v>143</v>
      </c>
      <c r="C12" s="1" t="s">
        <v>221</v>
      </c>
      <c r="D12" s="48">
        <v>28929860.432</v>
      </c>
      <c r="E12" s="48">
        <v>23254492.015999991</v>
      </c>
      <c r="F12" s="48">
        <v>25535227.792000003</v>
      </c>
      <c r="G12" s="48">
        <v>22107167.400000002</v>
      </c>
      <c r="H12" s="48">
        <v>20221836.344000001</v>
      </c>
      <c r="I12" s="38">
        <f t="shared" si="0"/>
        <v>24956686.91</v>
      </c>
      <c r="J12" s="1">
        <f t="shared" si="7"/>
        <v>-18.972272173285841</v>
      </c>
      <c r="K12" s="1">
        <f>('2020a'!J11+'2021a'!J11+'2022a'!J11+'2023a'!J12)/4</f>
        <v>-8.4619821154868404</v>
      </c>
      <c r="L12" s="1">
        <f t="shared" si="1"/>
        <v>-10.510290057799001</v>
      </c>
      <c r="M12" s="52">
        <v>0</v>
      </c>
      <c r="N12" s="1">
        <f t="shared" si="2"/>
        <v>-8.4619821154868404</v>
      </c>
      <c r="O12" s="38">
        <f t="shared" si="3"/>
        <v>22844856.527057756</v>
      </c>
      <c r="P12" s="38">
        <f t="shared" si="4"/>
        <v>20221836.344000001</v>
      </c>
      <c r="Q12" s="102">
        <f t="shared" si="5"/>
        <v>12.97122644272625</v>
      </c>
      <c r="T12" t="s">
        <v>61</v>
      </c>
      <c r="V12" s="47">
        <f t="shared" si="6"/>
        <v>2623020.1830577552</v>
      </c>
    </row>
    <row r="13" spans="1:22" ht="15.6" x14ac:dyDescent="0.3">
      <c r="A13" s="13"/>
      <c r="B13" s="1" t="s">
        <v>144</v>
      </c>
      <c r="C13" s="1" t="s">
        <v>222</v>
      </c>
      <c r="D13" s="48">
        <v>23254492.015999991</v>
      </c>
      <c r="E13" s="48">
        <v>25535227.792000003</v>
      </c>
      <c r="F13" s="48">
        <v>22107167.400000002</v>
      </c>
      <c r="G13" s="48">
        <v>20221836.344000001</v>
      </c>
      <c r="H13" s="48">
        <v>20717922.855999995</v>
      </c>
      <c r="I13" s="38">
        <f t="shared" si="0"/>
        <v>22779680.888</v>
      </c>
      <c r="J13" s="1">
        <f t="shared" si="7"/>
        <v>-9.0508644178861566</v>
      </c>
      <c r="K13" s="1">
        <f>('2020a'!J12+'2021a'!J12+'2022a'!J12+'2023a'!J13)/4</f>
        <v>-2.6012736104602441</v>
      </c>
      <c r="L13" s="1">
        <f t="shared" si="1"/>
        <v>-6.4495908074259125</v>
      </c>
      <c r="M13" s="52">
        <v>-12</v>
      </c>
      <c r="N13" s="1">
        <f t="shared" si="2"/>
        <v>-14.601273610460243</v>
      </c>
      <c r="O13" s="38">
        <f t="shared" si="3"/>
        <v>19453557.353953399</v>
      </c>
      <c r="P13" s="38">
        <f t="shared" si="4"/>
        <v>20717922.855999995</v>
      </c>
      <c r="Q13" s="102">
        <f t="shared" si="5"/>
        <v>6.1027618976794811</v>
      </c>
      <c r="T13" t="s">
        <v>62</v>
      </c>
      <c r="V13" s="47">
        <f t="shared" si="6"/>
        <v>-1264365.5020465963</v>
      </c>
    </row>
    <row r="14" spans="1:22" ht="15.6" x14ac:dyDescent="0.3">
      <c r="A14" s="2" t="s">
        <v>134</v>
      </c>
      <c r="B14" s="1" t="s">
        <v>145</v>
      </c>
      <c r="C14" s="1" t="s">
        <v>223</v>
      </c>
      <c r="D14" s="48">
        <v>33264636.728000011</v>
      </c>
      <c r="E14" s="48">
        <v>31685393.768160004</v>
      </c>
      <c r="F14" s="48">
        <v>32736842.800000008</v>
      </c>
      <c r="G14" s="48">
        <v>31201639.880000003</v>
      </c>
      <c r="H14" s="48">
        <v>25986091.631999992</v>
      </c>
      <c r="I14" s="38">
        <f t="shared" si="0"/>
        <v>32222128.294040009</v>
      </c>
      <c r="J14" s="1">
        <f t="shared" si="7"/>
        <v>-19.353273642056323</v>
      </c>
      <c r="K14" s="1">
        <f>('2020a'!J13+'2021a'!J13+'2022a'!J13+'2023a'!J14)/4</f>
        <v>-10.471502333919931</v>
      </c>
      <c r="L14" s="1">
        <f t="shared" si="1"/>
        <v>-8.8817713081363916</v>
      </c>
      <c r="M14" s="52">
        <v>-14.0608</v>
      </c>
      <c r="N14" s="1">
        <f t="shared" si="2"/>
        <v>-24.53230233391993</v>
      </c>
      <c r="O14" s="38">
        <f t="shared" si="3"/>
        <v>24317298.362522557</v>
      </c>
      <c r="P14" s="38">
        <f t="shared" si="4"/>
        <v>25986091.631999992</v>
      </c>
      <c r="Q14" s="102">
        <f t="shared" si="5"/>
        <v>6.4218709496984774</v>
      </c>
      <c r="V14" s="47">
        <f t="shared" si="6"/>
        <v>-1668793.2694774345</v>
      </c>
    </row>
    <row r="15" spans="1:22" ht="15.6" x14ac:dyDescent="0.3">
      <c r="A15" s="13"/>
      <c r="B15" s="1" t="s">
        <v>146</v>
      </c>
      <c r="C15" s="1" t="s">
        <v>224</v>
      </c>
      <c r="D15" s="17">
        <v>28258348.390000001</v>
      </c>
      <c r="E15" s="17">
        <v>30515258.920000002</v>
      </c>
      <c r="F15" s="17">
        <v>30187192.210000001</v>
      </c>
      <c r="G15" s="17">
        <v>28987478.309999999</v>
      </c>
      <c r="H15" s="17">
        <v>26009814.719999999</v>
      </c>
      <c r="I15" s="38">
        <f t="shared" si="0"/>
        <v>29487069.457500003</v>
      </c>
      <c r="J15" s="1">
        <f t="shared" si="7"/>
        <v>-11.792473112703876</v>
      </c>
      <c r="K15" s="1">
        <f>('2020a'!J14+'2021a'!J14+'2022a'!J14+'2023a'!J15)/4</f>
        <v>-8.2612614383211351</v>
      </c>
      <c r="L15" s="1">
        <f t="shared" si="1"/>
        <v>-3.5312116743827406</v>
      </c>
      <c r="M15" s="52">
        <v>-7.9569000000000001</v>
      </c>
      <c r="N15" s="1">
        <f t="shared" si="2"/>
        <v>-16.218161438321136</v>
      </c>
      <c r="O15" s="38">
        <f t="shared" si="3"/>
        <v>24704808.929452769</v>
      </c>
      <c r="P15" s="38">
        <f t="shared" si="4"/>
        <v>26009814.719999999</v>
      </c>
      <c r="Q15" s="102">
        <f t="shared" si="5"/>
        <v>5.0173590415611748</v>
      </c>
      <c r="V15" s="47">
        <f t="shared" si="6"/>
        <v>-1305005.7905472293</v>
      </c>
    </row>
    <row r="16" spans="1:22" ht="15.6" x14ac:dyDescent="0.3">
      <c r="A16" s="13"/>
      <c r="B16" s="1" t="s">
        <v>147</v>
      </c>
      <c r="C16" s="1" t="s">
        <v>175</v>
      </c>
      <c r="D16" s="17">
        <v>32988765.829999998</v>
      </c>
      <c r="E16" s="17">
        <v>31713502.140000001</v>
      </c>
      <c r="F16" s="17">
        <v>30089571.289999999</v>
      </c>
      <c r="G16" s="17">
        <v>23894816.870000001</v>
      </c>
      <c r="H16" s="17">
        <v>24792648.940000001</v>
      </c>
      <c r="I16" s="38">
        <f t="shared" si="0"/>
        <v>29671664.032499999</v>
      </c>
      <c r="J16" s="1">
        <f t="shared" si="7"/>
        <v>-16.44334839851216</v>
      </c>
      <c r="K16" s="1">
        <f>('2020a'!J15+'2021a'!J15+'2022a'!J15+'2023a'!J16)/4</f>
        <v>-12.100568081853563</v>
      </c>
      <c r="L16" s="1">
        <f t="shared" si="1"/>
        <v>-4.3427803166585974</v>
      </c>
      <c r="M16" s="52">
        <v>0</v>
      </c>
      <c r="N16" s="1">
        <f t="shared" si="2"/>
        <v>-12.100568081853563</v>
      </c>
      <c r="O16" s="38">
        <f t="shared" si="3"/>
        <v>26081224.12522848</v>
      </c>
      <c r="P16" s="38">
        <f t="shared" si="4"/>
        <v>24792648.940000001</v>
      </c>
      <c r="Q16" s="102">
        <f t="shared" si="5"/>
        <v>5.197408265437562</v>
      </c>
      <c r="V16" s="47">
        <f t="shared" si="6"/>
        <v>1288575.1852284782</v>
      </c>
    </row>
    <row r="17" spans="1:24" ht="15.6" x14ac:dyDescent="0.3">
      <c r="A17" s="2" t="s">
        <v>135</v>
      </c>
      <c r="B17" s="21" t="s">
        <v>148</v>
      </c>
      <c r="C17" s="1" t="s">
        <v>225</v>
      </c>
      <c r="D17" s="48">
        <v>32770227.68</v>
      </c>
      <c r="E17" s="48">
        <v>30045391.120000005</v>
      </c>
      <c r="F17" s="48">
        <v>28826716.32</v>
      </c>
      <c r="G17" s="48">
        <v>22574331.095999993</v>
      </c>
      <c r="H17" s="48">
        <v>23546634.488000005</v>
      </c>
      <c r="I17" s="38">
        <f t="shared" si="0"/>
        <v>28554166.553999998</v>
      </c>
      <c r="J17" s="1">
        <f t="shared" si="7"/>
        <v>-17.536957545337685</v>
      </c>
      <c r="K17" s="1">
        <f>('2020a'!J16+'2021a'!J16+'2022a'!J16+'2023a'!J17)/4</f>
        <v>-4.1531216977287055</v>
      </c>
      <c r="L17" s="1">
        <f t="shared" si="1"/>
        <v>-13.38383584760898</v>
      </c>
      <c r="M17" s="52">
        <v>-14.018599999999999</v>
      </c>
      <c r="N17" s="1">
        <f t="shared" si="2"/>
        <v>-18.171721697728707</v>
      </c>
      <c r="O17" s="38">
        <f t="shared" si="3"/>
        <v>23365382.874701187</v>
      </c>
      <c r="P17" s="38">
        <f t="shared" si="4"/>
        <v>23546634.488000005</v>
      </c>
      <c r="Q17" s="102">
        <f t="shared" si="5"/>
        <v>0.76975592155723627</v>
      </c>
      <c r="V17" s="47">
        <f t="shared" si="6"/>
        <v>-181251.61329881847</v>
      </c>
    </row>
    <row r="18" spans="1:24" ht="15.6" x14ac:dyDescent="0.3">
      <c r="A18" s="13" t="s">
        <v>136</v>
      </c>
      <c r="B18" s="21" t="s">
        <v>149</v>
      </c>
      <c r="C18" s="1" t="s">
        <v>226</v>
      </c>
      <c r="D18" s="48">
        <v>31781409.335999999</v>
      </c>
      <c r="E18" s="48">
        <v>29018456.952000003</v>
      </c>
      <c r="F18" s="48">
        <v>23904977.280000001</v>
      </c>
      <c r="G18" s="48">
        <v>24557871.024000008</v>
      </c>
      <c r="H18" s="48">
        <v>22710128.848000001</v>
      </c>
      <c r="I18" s="38">
        <f t="shared" si="0"/>
        <v>27315678.648000002</v>
      </c>
      <c r="J18" s="1">
        <f t="shared" si="7"/>
        <v>-16.860462664496932</v>
      </c>
      <c r="K18" s="1">
        <f>('2020a'!J17+'2021a'!J17+'2022a'!J17+'2023a'!J18)/4</f>
        <v>-14.729437062818983</v>
      </c>
      <c r="L18" s="1">
        <f t="shared" si="1"/>
        <v>-2.1310256016779494</v>
      </c>
      <c r="M18" s="52">
        <v>-6.8103999999999996</v>
      </c>
      <c r="N18" s="1">
        <f t="shared" si="2"/>
        <v>-21.539837062818982</v>
      </c>
      <c r="O18" s="38">
        <f t="shared" si="3"/>
        <v>21431925.974617567</v>
      </c>
      <c r="P18" s="38">
        <f t="shared" si="4"/>
        <v>22710128.848000001</v>
      </c>
      <c r="Q18" s="102">
        <f t="shared" si="5"/>
        <v>5.6283382711630932</v>
      </c>
      <c r="V18" s="47">
        <f t="shared" si="6"/>
        <v>-1278202.8733824342</v>
      </c>
    </row>
    <row r="19" spans="1:24" ht="15.6" x14ac:dyDescent="0.3">
      <c r="A19" s="13"/>
      <c r="B19" s="22" t="s">
        <v>29</v>
      </c>
      <c r="C19" s="1" t="s">
        <v>227</v>
      </c>
      <c r="D19" s="17">
        <v>23174758.050000001</v>
      </c>
      <c r="E19" s="17">
        <v>30251428.73</v>
      </c>
      <c r="F19" s="17">
        <v>29853482.469999999</v>
      </c>
      <c r="G19" s="17">
        <v>29008793.579999998</v>
      </c>
      <c r="H19" s="17">
        <v>25031135.780000001</v>
      </c>
      <c r="I19" s="38">
        <f t="shared" si="0"/>
        <v>28072115.7075</v>
      </c>
      <c r="J19" s="1">
        <f t="shared" si="7"/>
        <v>-10.832742210048467</v>
      </c>
      <c r="K19" s="1">
        <f>('2020a'!J18+'2021a'!J18+'2022a'!J18+'2023a'!J19)/4</f>
        <v>-6.7678605279049853</v>
      </c>
      <c r="L19" s="1">
        <f t="shared" si="1"/>
        <v>-4.0648816821434819</v>
      </c>
      <c r="M19" s="52">
        <v>0</v>
      </c>
      <c r="N19" s="1">
        <f t="shared" si="2"/>
        <v>-6.7678605279049853</v>
      </c>
      <c r="O19" s="38">
        <f t="shared" si="3"/>
        <v>26172234.069184292</v>
      </c>
      <c r="P19" s="38">
        <f t="shared" si="4"/>
        <v>25031135.780000001</v>
      </c>
      <c r="Q19" s="102">
        <f t="shared" si="5"/>
        <v>4.5587155901093146</v>
      </c>
      <c r="V19" s="47">
        <f t="shared" si="6"/>
        <v>1141098.2891842909</v>
      </c>
    </row>
    <row r="20" spans="1:24" ht="15.6" x14ac:dyDescent="0.3">
      <c r="A20" s="7"/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37" t="s">
        <v>35</v>
      </c>
      <c r="Q20" s="37">
        <f>SUM(Q6:Q19)/14</f>
        <v>6.2938614336462901</v>
      </c>
      <c r="R20" s="36" t="s">
        <v>58</v>
      </c>
      <c r="S20">
        <f>SQRT(SUMXMY2(O6:O19, P6:P19) / COUNT(P6:P19))</f>
        <v>1671933.5358204646</v>
      </c>
      <c r="T20" s="36" t="s">
        <v>59</v>
      </c>
      <c r="U20" s="36">
        <f>RSQ(O6:O19,P6:P19)</f>
        <v>0.34856974822030984</v>
      </c>
      <c r="V20" s="36" t="s">
        <v>60</v>
      </c>
      <c r="W20" s="36">
        <f t="array" ref="W20">AVERAGE(ABS(V6:V19))</f>
        <v>1497645.3674099862</v>
      </c>
      <c r="X20" s="36" cm="1">
        <f t="array" ref="X20">SUMPRODUCT(ABS(O6:O19 - P6:P19)) / COUNT(O6:O19)</f>
        <v>1497645.3674099862</v>
      </c>
    </row>
    <row r="22" spans="1:24" x14ac:dyDescent="0.3">
      <c r="A22" s="28" t="s">
        <v>209</v>
      </c>
    </row>
    <row r="23" spans="1:24" ht="15.6" x14ac:dyDescent="0.3">
      <c r="A23" s="2" t="s">
        <v>123</v>
      </c>
      <c r="B23" s="2" t="s">
        <v>124</v>
      </c>
      <c r="C23" s="3" t="s">
        <v>125</v>
      </c>
      <c r="D23" s="107" t="s">
        <v>126</v>
      </c>
      <c r="E23" s="108"/>
      <c r="F23" s="108"/>
      <c r="G23" s="108"/>
      <c r="H23" s="108"/>
      <c r="I23" s="109" t="s">
        <v>25</v>
      </c>
      <c r="J23" s="109" t="s">
        <v>26</v>
      </c>
      <c r="K23" s="109" t="s">
        <v>28</v>
      </c>
      <c r="L23" s="109" t="s">
        <v>27</v>
      </c>
      <c r="M23" s="5" t="s">
        <v>0</v>
      </c>
      <c r="N23" s="4" t="s">
        <v>2</v>
      </c>
      <c r="O23" s="19" t="s">
        <v>3</v>
      </c>
      <c r="P23" s="6" t="s">
        <v>4</v>
      </c>
      <c r="Q23" s="5" t="s">
        <v>5</v>
      </c>
    </row>
    <row r="24" spans="1:24" ht="15.6" x14ac:dyDescent="0.3">
      <c r="A24" s="7"/>
      <c r="B24" s="7"/>
      <c r="C24" s="8"/>
      <c r="D24" s="9" t="s">
        <v>127</v>
      </c>
      <c r="E24" s="9" t="s">
        <v>128</v>
      </c>
      <c r="F24" s="9" t="s">
        <v>129</v>
      </c>
      <c r="G24" s="9" t="s">
        <v>130</v>
      </c>
      <c r="H24" s="9" t="s">
        <v>131</v>
      </c>
      <c r="I24" s="110"/>
      <c r="J24" s="110"/>
      <c r="K24" s="110"/>
      <c r="L24" s="110"/>
      <c r="M24" s="10" t="s">
        <v>1</v>
      </c>
      <c r="N24" s="11" t="s">
        <v>26</v>
      </c>
      <c r="O24" s="20" t="s">
        <v>51</v>
      </c>
      <c r="P24" s="12" t="s">
        <v>52</v>
      </c>
      <c r="Q24" s="10" t="s">
        <v>6</v>
      </c>
    </row>
    <row r="25" spans="1:24" ht="15.6" x14ac:dyDescent="0.3">
      <c r="A25" s="2" t="s">
        <v>132</v>
      </c>
      <c r="B25" s="1" t="s">
        <v>137</v>
      </c>
      <c r="C25" s="1" t="s">
        <v>215</v>
      </c>
      <c r="D25" s="17">
        <v>31962075.063999999</v>
      </c>
      <c r="E25" s="17">
        <v>31389832.191999998</v>
      </c>
      <c r="F25" s="17">
        <v>30887111.496000003</v>
      </c>
      <c r="G25" s="17">
        <v>27674658.719999999</v>
      </c>
      <c r="H25" s="17">
        <v>25001165.223999992</v>
      </c>
      <c r="I25" s="1">
        <v>30478419.368000001</v>
      </c>
      <c r="J25" s="1">
        <v>-17.9709258471281</v>
      </c>
      <c r="K25" s="1">
        <v>-8.0090081078371149</v>
      </c>
      <c r="L25" s="1">
        <v>-9.9619177392909855</v>
      </c>
      <c r="M25" s="52">
        <v>-13.65</v>
      </c>
      <c r="N25" s="1">
        <f>M25+K25</f>
        <v>-21.659008107837117</v>
      </c>
      <c r="O25" s="38">
        <f>I25+((N25*I25)/100)</f>
        <v>23877096.045944281</v>
      </c>
      <c r="P25" s="38">
        <f>H25</f>
        <v>25001165.223999992</v>
      </c>
      <c r="Q25" s="102">
        <f>ABS((O25-H25)/H25)*100</f>
        <v>4.4960671552086513</v>
      </c>
      <c r="V25" s="47">
        <f>(O25-P25)</f>
        <v>-1124069.1780557111</v>
      </c>
    </row>
    <row r="26" spans="1:24" ht="15.6" x14ac:dyDescent="0.3">
      <c r="A26" s="7"/>
      <c r="B26" s="1" t="s">
        <v>138</v>
      </c>
      <c r="C26" s="1" t="s">
        <v>216</v>
      </c>
      <c r="D26" s="17">
        <v>27235140.030000001</v>
      </c>
      <c r="E26" s="17">
        <v>28261723.059999999</v>
      </c>
      <c r="F26" s="17">
        <v>29261317.649999999</v>
      </c>
      <c r="G26" s="17">
        <v>25243722.100000001</v>
      </c>
      <c r="H26" s="17">
        <v>24512817.800000001</v>
      </c>
      <c r="I26" s="1">
        <v>27500475.710000001</v>
      </c>
      <c r="J26" s="1">
        <v>-10.864022650028552</v>
      </c>
      <c r="K26" s="1">
        <v>-7.2588762167099778</v>
      </c>
      <c r="L26" s="1">
        <v>-3.6051464333185743</v>
      </c>
      <c r="M26" s="51">
        <v>-8.6270000000000007</v>
      </c>
      <c r="N26" s="1">
        <f t="shared" ref="N26:N38" si="8">M26+K26</f>
        <v>-15.885876216709978</v>
      </c>
      <c r="O26" s="38">
        <f t="shared" ref="O26:O38" si="9">I26+((N26*I26)/100)</f>
        <v>23131784.179703005</v>
      </c>
      <c r="P26" s="38">
        <f t="shared" ref="P26:P38" si="10">H26</f>
        <v>24512817.800000001</v>
      </c>
      <c r="Q26" s="102">
        <f t="shared" ref="Q26:Q38" si="11">ABS((O26-H26)/H26)*100</f>
        <v>5.633924388313269</v>
      </c>
      <c r="V26" s="47">
        <f t="shared" ref="V26:V38" si="12">(O26-P26)</f>
        <v>-1381033.6202969961</v>
      </c>
    </row>
    <row r="27" spans="1:24" ht="15.6" x14ac:dyDescent="0.3">
      <c r="A27" s="2" t="s">
        <v>133</v>
      </c>
      <c r="B27" s="1" t="s">
        <v>139</v>
      </c>
      <c r="C27" s="1" t="s">
        <v>217</v>
      </c>
      <c r="D27" s="17">
        <v>31957263.199999999</v>
      </c>
      <c r="E27" s="17">
        <v>31021032.050000001</v>
      </c>
      <c r="F27" s="17">
        <v>30016114.25</v>
      </c>
      <c r="G27" s="17">
        <v>25024126.18</v>
      </c>
      <c r="H27" s="17">
        <v>24126175.350000001</v>
      </c>
      <c r="I27" s="1">
        <v>29504633.920000002</v>
      </c>
      <c r="J27" s="1">
        <v>-18.229199469423545</v>
      </c>
      <c r="K27" s="1">
        <v>-9.6552800346627414</v>
      </c>
      <c r="L27" s="1">
        <v>-8.5739194347608034</v>
      </c>
      <c r="M27" s="52">
        <v>0</v>
      </c>
      <c r="N27" s="1">
        <f t="shared" si="8"/>
        <v>-9.6552800346627414</v>
      </c>
      <c r="O27" s="38">
        <f t="shared" si="9"/>
        <v>26655878.89182191</v>
      </c>
      <c r="P27" s="38">
        <f t="shared" si="10"/>
        <v>24126175.350000001</v>
      </c>
      <c r="Q27" s="102">
        <f t="shared" si="11"/>
        <v>10.485306954473032</v>
      </c>
      <c r="V27" s="47">
        <f t="shared" si="12"/>
        <v>2529703.5418219082</v>
      </c>
    </row>
    <row r="28" spans="1:24" ht="15.6" x14ac:dyDescent="0.3">
      <c r="A28" s="13"/>
      <c r="B28" s="1" t="s">
        <v>140</v>
      </c>
      <c r="C28" s="1" t="s">
        <v>218</v>
      </c>
      <c r="D28" s="17">
        <v>30050152.559999999</v>
      </c>
      <c r="E28" s="17">
        <v>26598716.23</v>
      </c>
      <c r="F28" s="17">
        <v>26845795.579999998</v>
      </c>
      <c r="G28" s="17">
        <v>27003129.120000001</v>
      </c>
      <c r="H28" s="17">
        <v>25429718.52</v>
      </c>
      <c r="I28" s="1">
        <v>27624448.372500002</v>
      </c>
      <c r="J28" s="1">
        <v>-7.9448820946768484</v>
      </c>
      <c r="K28" s="1">
        <v>-4.1994223233244732</v>
      </c>
      <c r="L28" s="1">
        <v>-3.7454597713523752</v>
      </c>
      <c r="M28" s="52">
        <v>-12</v>
      </c>
      <c r="N28" s="1">
        <f t="shared" si="8"/>
        <v>-16.199422323324473</v>
      </c>
      <c r="O28" s="38">
        <f t="shared" si="9"/>
        <v>23149447.316149995</v>
      </c>
      <c r="P28" s="38">
        <f t="shared" si="10"/>
        <v>25429718.52</v>
      </c>
      <c r="Q28" s="102">
        <f t="shared" si="11"/>
        <v>8.9669541645009332</v>
      </c>
      <c r="V28" s="47">
        <f t="shared" si="12"/>
        <v>-2280271.2038500048</v>
      </c>
    </row>
    <row r="29" spans="1:24" ht="15.6" x14ac:dyDescent="0.3">
      <c r="A29" s="13"/>
      <c r="B29" s="1" t="s">
        <v>141</v>
      </c>
      <c r="C29" s="1" t="s">
        <v>219</v>
      </c>
      <c r="D29" s="17">
        <v>30101526.079999998</v>
      </c>
      <c r="E29" s="17">
        <v>28313128.739999998</v>
      </c>
      <c r="F29" s="17">
        <v>28015138.359999999</v>
      </c>
      <c r="G29" s="17">
        <v>24826248.280000001</v>
      </c>
      <c r="H29" s="17">
        <v>24516278.84</v>
      </c>
      <c r="I29" s="1">
        <v>27814010.364999998</v>
      </c>
      <c r="J29" s="1">
        <v>-11.856368361571217</v>
      </c>
      <c r="K29" s="1">
        <v>-7.4351603774193862</v>
      </c>
      <c r="L29" s="1">
        <v>-4.421207984151831</v>
      </c>
      <c r="M29" s="52">
        <v>-13.65</v>
      </c>
      <c r="N29" s="1">
        <f t="shared" si="8"/>
        <v>-21.085160377419385</v>
      </c>
      <c r="O29" s="38">
        <f t="shared" si="9"/>
        <v>21949381.672147699</v>
      </c>
      <c r="P29" s="38">
        <f t="shared" si="10"/>
        <v>24516278.84</v>
      </c>
      <c r="Q29" s="102">
        <f t="shared" si="11"/>
        <v>10.470174468990912</v>
      </c>
      <c r="V29" s="47">
        <f t="shared" si="12"/>
        <v>-2566897.1678523012</v>
      </c>
    </row>
    <row r="30" spans="1:24" ht="15.6" x14ac:dyDescent="0.3">
      <c r="A30" s="13"/>
      <c r="B30" s="1" t="s">
        <v>142</v>
      </c>
      <c r="C30" s="1" t="s">
        <v>220</v>
      </c>
      <c r="D30" s="17">
        <v>22303982.776000001</v>
      </c>
      <c r="E30" s="17">
        <v>29489179.431999993</v>
      </c>
      <c r="F30" s="17">
        <v>31781409.335999999</v>
      </c>
      <c r="G30" s="17">
        <v>29018456.952000003</v>
      </c>
      <c r="H30" s="17">
        <v>23904977.280000001</v>
      </c>
      <c r="I30" s="1">
        <v>28148257.123999998</v>
      </c>
      <c r="J30" s="1">
        <v>-15.074751610045714</v>
      </c>
      <c r="K30" s="1">
        <v>-3.0757634413158739</v>
      </c>
      <c r="L30" s="1">
        <v>-11.998988168729841</v>
      </c>
      <c r="M30" s="52">
        <v>-10.5</v>
      </c>
      <c r="N30" s="1">
        <f t="shared" si="8"/>
        <v>-13.575763441315875</v>
      </c>
      <c r="O30" s="38">
        <f t="shared" si="9"/>
        <v>24326916.323992416</v>
      </c>
      <c r="P30" s="38">
        <f t="shared" si="10"/>
        <v>23904977.280000001</v>
      </c>
      <c r="Q30" s="102">
        <f t="shared" si="11"/>
        <v>1.7650677473993193</v>
      </c>
      <c r="V30" s="47">
        <f t="shared" si="12"/>
        <v>421939.04399241507</v>
      </c>
    </row>
    <row r="31" spans="1:24" ht="15.6" x14ac:dyDescent="0.3">
      <c r="A31" s="13"/>
      <c r="B31" s="1" t="s">
        <v>143</v>
      </c>
      <c r="C31" s="1" t="s">
        <v>221</v>
      </c>
      <c r="D31" s="17">
        <v>28929860.432</v>
      </c>
      <c r="E31" s="17">
        <v>23254492.015999991</v>
      </c>
      <c r="F31" s="17">
        <v>25535227.792000003</v>
      </c>
      <c r="G31" s="17">
        <v>22107167.400000002</v>
      </c>
      <c r="H31" s="17">
        <v>20221836.344000001</v>
      </c>
      <c r="I31" s="1">
        <v>24956686.91</v>
      </c>
      <c r="J31" s="1">
        <v>-18.972272173285841</v>
      </c>
      <c r="K31" s="1">
        <v>-8.4619821154868404</v>
      </c>
      <c r="L31" s="1">
        <v>-10.510290057799001</v>
      </c>
      <c r="M31" s="52">
        <v>0</v>
      </c>
      <c r="N31" s="1">
        <f t="shared" si="8"/>
        <v>-8.4619821154868404</v>
      </c>
      <c r="O31" s="38">
        <f t="shared" si="9"/>
        <v>22844856.527057756</v>
      </c>
      <c r="P31" s="38">
        <f t="shared" si="10"/>
        <v>20221836.344000001</v>
      </c>
      <c r="Q31" s="102">
        <f t="shared" si="11"/>
        <v>12.97122644272625</v>
      </c>
      <c r="V31" s="47">
        <f t="shared" si="12"/>
        <v>2623020.1830577552</v>
      </c>
    </row>
    <row r="32" spans="1:24" ht="15.6" x14ac:dyDescent="0.3">
      <c r="A32" s="13"/>
      <c r="B32" s="1" t="s">
        <v>144</v>
      </c>
      <c r="C32" s="1" t="s">
        <v>222</v>
      </c>
      <c r="D32" s="17">
        <v>23254492.015999991</v>
      </c>
      <c r="E32" s="17">
        <v>25535227.792000003</v>
      </c>
      <c r="F32" s="17">
        <v>22107167.400000002</v>
      </c>
      <c r="G32" s="17">
        <v>20221836.344000001</v>
      </c>
      <c r="H32" s="17">
        <v>20717922.855999995</v>
      </c>
      <c r="I32" s="1">
        <v>22779680.888</v>
      </c>
      <c r="J32" s="1">
        <v>-9.0508644178861566</v>
      </c>
      <c r="K32" s="1">
        <v>-2.6012736104602441</v>
      </c>
      <c r="L32" s="1">
        <v>-6.4495908074259125</v>
      </c>
      <c r="M32" s="52">
        <v>-12</v>
      </c>
      <c r="N32" s="1">
        <f t="shared" si="8"/>
        <v>-14.601273610460243</v>
      </c>
      <c r="O32" s="38">
        <f t="shared" si="9"/>
        <v>19453557.353953399</v>
      </c>
      <c r="P32" s="38">
        <f t="shared" si="10"/>
        <v>20717922.855999995</v>
      </c>
      <c r="Q32" s="102">
        <f t="shared" si="11"/>
        <v>6.1027618976794811</v>
      </c>
      <c r="V32" s="47">
        <f t="shared" si="12"/>
        <v>-1264365.5020465963</v>
      </c>
    </row>
    <row r="33" spans="1:24" ht="15.6" x14ac:dyDescent="0.3">
      <c r="A33" s="2" t="s">
        <v>134</v>
      </c>
      <c r="B33" s="1" t="s">
        <v>145</v>
      </c>
      <c r="C33" s="1" t="s">
        <v>223</v>
      </c>
      <c r="D33" s="17">
        <v>33264636.728000011</v>
      </c>
      <c r="E33" s="17">
        <v>31685393.768160004</v>
      </c>
      <c r="F33" s="17">
        <v>32736842.800000008</v>
      </c>
      <c r="G33" s="17">
        <v>31201639.880000003</v>
      </c>
      <c r="H33" s="17">
        <v>25986091.631999992</v>
      </c>
      <c r="I33" s="1">
        <v>32222128.294040009</v>
      </c>
      <c r="J33" s="1">
        <v>-19.353273642056323</v>
      </c>
      <c r="K33" s="1">
        <v>-10.471502333919931</v>
      </c>
      <c r="L33" s="1">
        <v>-8.8817713081363916</v>
      </c>
      <c r="M33" s="52">
        <v>-14.2775</v>
      </c>
      <c r="N33" s="1">
        <f t="shared" si="8"/>
        <v>-24.749002333919933</v>
      </c>
      <c r="O33" s="38">
        <f t="shared" si="9"/>
        <v>24247473.010509372</v>
      </c>
      <c r="P33" s="38">
        <f t="shared" si="10"/>
        <v>25986091.631999992</v>
      </c>
      <c r="Q33" s="102">
        <f t="shared" si="11"/>
        <v>6.6905737350269208</v>
      </c>
      <c r="V33" s="47">
        <f t="shared" si="12"/>
        <v>-1738618.6214906201</v>
      </c>
    </row>
    <row r="34" spans="1:24" ht="15.6" x14ac:dyDescent="0.3">
      <c r="A34" s="13"/>
      <c r="B34" s="1" t="s">
        <v>146</v>
      </c>
      <c r="C34" s="1" t="s">
        <v>224</v>
      </c>
      <c r="D34" s="17">
        <v>28258348.390000001</v>
      </c>
      <c r="E34" s="17">
        <v>30515258.920000002</v>
      </c>
      <c r="F34" s="17">
        <v>30187192.210000001</v>
      </c>
      <c r="G34" s="17">
        <v>28987478.309999999</v>
      </c>
      <c r="H34" s="17">
        <v>26009814.719999999</v>
      </c>
      <c r="I34" s="1">
        <v>29487069.457500003</v>
      </c>
      <c r="J34" s="1">
        <v>-11.792473112703876</v>
      </c>
      <c r="K34" s="1">
        <v>-8.2612614383211351</v>
      </c>
      <c r="L34" s="1">
        <v>-3.5312116743827406</v>
      </c>
      <c r="M34" s="52">
        <v>-7.3544</v>
      </c>
      <c r="N34" s="1">
        <f t="shared" si="8"/>
        <v>-15.615661438321135</v>
      </c>
      <c r="O34" s="38">
        <f t="shared" si="9"/>
        <v>24882468.522934206</v>
      </c>
      <c r="P34" s="38">
        <f t="shared" si="10"/>
        <v>26009814.719999999</v>
      </c>
      <c r="Q34" s="102">
        <f t="shared" si="11"/>
        <v>4.3343107561582546</v>
      </c>
      <c r="V34" s="47">
        <f t="shared" si="12"/>
        <v>-1127346.197065793</v>
      </c>
    </row>
    <row r="35" spans="1:24" ht="15.6" x14ac:dyDescent="0.3">
      <c r="A35" s="13"/>
      <c r="B35" s="1" t="s">
        <v>147</v>
      </c>
      <c r="C35" s="1" t="s">
        <v>175</v>
      </c>
      <c r="D35" s="17">
        <v>32988765.829999998</v>
      </c>
      <c r="E35" s="17">
        <v>31713502.140000001</v>
      </c>
      <c r="F35" s="17">
        <v>30089571.289999999</v>
      </c>
      <c r="G35" s="17">
        <v>23894816.870000001</v>
      </c>
      <c r="H35" s="17">
        <v>24792648.940000001</v>
      </c>
      <c r="I35" s="1">
        <v>29671664.032499999</v>
      </c>
      <c r="J35" s="1">
        <v>-16.44334839851216</v>
      </c>
      <c r="K35" s="1">
        <v>-12.100568081853563</v>
      </c>
      <c r="L35" s="1">
        <v>-4.3427803166585974</v>
      </c>
      <c r="M35" s="52">
        <v>0</v>
      </c>
      <c r="N35" s="1">
        <f t="shared" si="8"/>
        <v>-12.100568081853563</v>
      </c>
      <c r="O35" s="38">
        <f t="shared" si="9"/>
        <v>26081224.12522848</v>
      </c>
      <c r="P35" s="38">
        <f t="shared" si="10"/>
        <v>24792648.940000001</v>
      </c>
      <c r="Q35" s="102">
        <f t="shared" si="11"/>
        <v>5.197408265437562</v>
      </c>
      <c r="V35" s="47">
        <f t="shared" si="12"/>
        <v>1288575.1852284782</v>
      </c>
    </row>
    <row r="36" spans="1:24" ht="15.6" x14ac:dyDescent="0.3">
      <c r="A36" s="2" t="s">
        <v>135</v>
      </c>
      <c r="B36" s="21" t="s">
        <v>148</v>
      </c>
      <c r="C36" s="1" t="s">
        <v>225</v>
      </c>
      <c r="D36" s="17">
        <v>32770227.68</v>
      </c>
      <c r="E36" s="17">
        <v>30045391.120000005</v>
      </c>
      <c r="F36" s="17">
        <v>28826716.32</v>
      </c>
      <c r="G36" s="17">
        <v>22574331.095999993</v>
      </c>
      <c r="H36" s="17">
        <v>23546634.488000005</v>
      </c>
      <c r="I36" s="1">
        <v>28554166.553999998</v>
      </c>
      <c r="J36" s="1">
        <v>-17.536957545337685</v>
      </c>
      <c r="K36" s="1">
        <v>-4.1531216977287055</v>
      </c>
      <c r="L36" s="1">
        <v>-13.38383584760898</v>
      </c>
      <c r="M36" s="52">
        <v>-14.209099999999999</v>
      </c>
      <c r="N36" s="1">
        <f t="shared" si="8"/>
        <v>-18.362221697728707</v>
      </c>
      <c r="O36" s="38">
        <f t="shared" si="9"/>
        <v>23310987.187415816</v>
      </c>
      <c r="P36" s="38">
        <f t="shared" si="10"/>
        <v>23546634.488000005</v>
      </c>
      <c r="Q36" s="102">
        <f t="shared" si="11"/>
        <v>1.0007684992276995</v>
      </c>
      <c r="V36" s="47">
        <f t="shared" si="12"/>
        <v>-235647.30058418959</v>
      </c>
    </row>
    <row r="37" spans="1:24" ht="15.6" x14ac:dyDescent="0.3">
      <c r="A37" s="13" t="s">
        <v>136</v>
      </c>
      <c r="B37" s="21" t="s">
        <v>149</v>
      </c>
      <c r="C37" s="1" t="s">
        <v>226</v>
      </c>
      <c r="D37" s="17">
        <v>31781409.335999999</v>
      </c>
      <c r="E37" s="17">
        <v>29018456.952000003</v>
      </c>
      <c r="F37" s="17">
        <v>23904977.280000001</v>
      </c>
      <c r="G37" s="17">
        <v>24557871.024000008</v>
      </c>
      <c r="H37" s="17">
        <v>22710128.848000001</v>
      </c>
      <c r="I37" s="1">
        <v>27315678.648000002</v>
      </c>
      <c r="J37" s="1">
        <v>-16.860462664496932</v>
      </c>
      <c r="K37" s="1">
        <v>-14.729437062818983</v>
      </c>
      <c r="L37" s="1">
        <v>-2.1310256016779494</v>
      </c>
      <c r="M37" s="52">
        <v>-6</v>
      </c>
      <c r="N37" s="1">
        <f t="shared" si="8"/>
        <v>-20.729437062818981</v>
      </c>
      <c r="O37" s="38">
        <f t="shared" si="9"/>
        <v>21653292.23438096</v>
      </c>
      <c r="P37" s="38">
        <f t="shared" si="10"/>
        <v>22710128.848000001</v>
      </c>
      <c r="Q37" s="102">
        <f t="shared" si="11"/>
        <v>4.6535914467614852</v>
      </c>
      <c r="V37" s="47">
        <f t="shared" si="12"/>
        <v>-1056836.6136190407</v>
      </c>
    </row>
    <row r="38" spans="1:24" ht="15.6" x14ac:dyDescent="0.3">
      <c r="A38" s="13"/>
      <c r="B38" s="22" t="s">
        <v>29</v>
      </c>
      <c r="C38" s="1" t="s">
        <v>227</v>
      </c>
      <c r="D38" s="17">
        <v>23174758.050000001</v>
      </c>
      <c r="E38" s="17">
        <v>30251428.73</v>
      </c>
      <c r="F38" s="17">
        <v>29853482.469999999</v>
      </c>
      <c r="G38" s="17">
        <v>29008793.579999998</v>
      </c>
      <c r="H38" s="17">
        <v>25031135.780000001</v>
      </c>
      <c r="I38" s="1">
        <v>28072115.7075</v>
      </c>
      <c r="J38" s="1">
        <v>-10.832742210048467</v>
      </c>
      <c r="K38" s="1">
        <v>-6.7678605279049853</v>
      </c>
      <c r="L38" s="1">
        <v>-4.0648816821434819</v>
      </c>
      <c r="M38" s="52">
        <v>0</v>
      </c>
      <c r="N38" s="1">
        <f t="shared" si="8"/>
        <v>-6.7678605279049853</v>
      </c>
      <c r="O38" s="38">
        <f t="shared" si="9"/>
        <v>26172234.069184292</v>
      </c>
      <c r="P38" s="38">
        <f t="shared" si="10"/>
        <v>25031135.780000001</v>
      </c>
      <c r="Q38" s="102">
        <f t="shared" si="11"/>
        <v>4.5587155901093146</v>
      </c>
      <c r="V38" s="47">
        <f t="shared" si="12"/>
        <v>1141098.2891842909</v>
      </c>
    </row>
    <row r="39" spans="1:24" ht="15.6" x14ac:dyDescent="0.3">
      <c r="A39" s="7"/>
      <c r="B39" s="21"/>
      <c r="C39" s="1"/>
      <c r="D39" s="17"/>
      <c r="E39" s="17"/>
      <c r="F39" s="17"/>
      <c r="G39" s="17"/>
      <c r="H39" s="17"/>
      <c r="I39" s="1"/>
      <c r="J39" s="1"/>
      <c r="K39" s="1"/>
      <c r="L39" s="1"/>
      <c r="M39" s="1"/>
      <c r="N39" s="1"/>
      <c r="O39" s="1"/>
      <c r="P39" s="37" t="s">
        <v>35</v>
      </c>
      <c r="Q39" s="37">
        <f>SUM(Q25:Q38)/14</f>
        <v>6.237632250858077</v>
      </c>
      <c r="R39" s="36" t="s">
        <v>58</v>
      </c>
      <c r="S39">
        <f>SQRT(SUMXMY2(O25:O38, P25:P38) / COUNT(P25:P38))</f>
        <v>1657113.2285540495</v>
      </c>
      <c r="T39" s="36" t="s">
        <v>59</v>
      </c>
      <c r="U39" s="36">
        <f>RSQ(O25:O38,P25:P38)</f>
        <v>0.35081362866481786</v>
      </c>
      <c r="V39" s="36" t="s">
        <v>60</v>
      </c>
      <c r="W39" s="36">
        <f t="array" ref="W39">AVERAGE(ABS(V25:V38))</f>
        <v>1484244.4034390072</v>
      </c>
      <c r="X39" s="36" cm="1">
        <f t="array" ref="X39">SUMPRODUCT(ABS(O25:O38 - P25:P38)) / COUNT(O25:O38)</f>
        <v>1484244.4034390072</v>
      </c>
    </row>
    <row r="40" spans="1:24" ht="15.6" x14ac:dyDescent="0.3">
      <c r="A40" s="16"/>
      <c r="B40" s="16"/>
      <c r="C40" s="16"/>
      <c r="D40" s="33"/>
      <c r="E40" s="33"/>
      <c r="F40" s="33"/>
      <c r="G40" s="33"/>
      <c r="H40" s="33"/>
      <c r="I40" s="16"/>
      <c r="J40" s="16"/>
      <c r="K40" s="16"/>
      <c r="L40" s="16"/>
      <c r="M40" s="16"/>
      <c r="N40" s="16"/>
      <c r="O40" s="16"/>
      <c r="P40" s="16"/>
      <c r="Q40" s="16"/>
    </row>
    <row r="41" spans="1:24" ht="15.6" x14ac:dyDescent="0.3">
      <c r="A41" s="34" t="s">
        <v>210</v>
      </c>
      <c r="B41" s="16"/>
      <c r="C41" s="16"/>
      <c r="D41" s="33"/>
      <c r="E41" s="33"/>
      <c r="F41" s="33"/>
      <c r="G41" s="33"/>
      <c r="H41" s="33"/>
      <c r="I41" s="16"/>
      <c r="J41" s="16"/>
      <c r="K41" s="16"/>
      <c r="L41" s="16"/>
      <c r="M41" s="16"/>
      <c r="N41" s="16"/>
      <c r="O41" s="16"/>
      <c r="P41" s="16"/>
      <c r="Q41" s="16"/>
    </row>
    <row r="42" spans="1:24" ht="15.6" x14ac:dyDescent="0.3">
      <c r="A42" s="2" t="s">
        <v>123</v>
      </c>
      <c r="B42" s="2" t="s">
        <v>124</v>
      </c>
      <c r="C42" s="3" t="s">
        <v>125</v>
      </c>
      <c r="D42" s="107" t="s">
        <v>126</v>
      </c>
      <c r="E42" s="108"/>
      <c r="F42" s="108"/>
      <c r="G42" s="108"/>
      <c r="H42" s="108"/>
      <c r="I42" s="109" t="s">
        <v>25</v>
      </c>
      <c r="J42" s="109" t="s">
        <v>26</v>
      </c>
      <c r="K42" s="109" t="s">
        <v>28</v>
      </c>
      <c r="L42" s="109" t="s">
        <v>27</v>
      </c>
      <c r="M42" s="5" t="s">
        <v>0</v>
      </c>
      <c r="N42" s="4" t="s">
        <v>2</v>
      </c>
      <c r="O42" s="19" t="s">
        <v>3</v>
      </c>
      <c r="P42" s="6" t="s">
        <v>4</v>
      </c>
      <c r="Q42" s="5" t="s">
        <v>5</v>
      </c>
    </row>
    <row r="43" spans="1:24" ht="15.6" x14ac:dyDescent="0.3">
      <c r="A43" s="7"/>
      <c r="B43" s="7"/>
      <c r="C43" s="8"/>
      <c r="D43" s="9" t="s">
        <v>127</v>
      </c>
      <c r="E43" s="9" t="s">
        <v>128</v>
      </c>
      <c r="F43" s="9" t="s">
        <v>129</v>
      </c>
      <c r="G43" s="9" t="s">
        <v>130</v>
      </c>
      <c r="H43" s="9" t="s">
        <v>131</v>
      </c>
      <c r="I43" s="110"/>
      <c r="J43" s="110"/>
      <c r="K43" s="110"/>
      <c r="L43" s="110"/>
      <c r="M43" s="10" t="s">
        <v>1</v>
      </c>
      <c r="N43" s="11" t="s">
        <v>26</v>
      </c>
      <c r="O43" s="20" t="s">
        <v>51</v>
      </c>
      <c r="P43" s="12" t="s">
        <v>52</v>
      </c>
      <c r="Q43" s="10" t="s">
        <v>6</v>
      </c>
    </row>
    <row r="44" spans="1:24" ht="15.6" x14ac:dyDescent="0.3">
      <c r="A44" s="2" t="s">
        <v>132</v>
      </c>
      <c r="B44" s="1" t="s">
        <v>137</v>
      </c>
      <c r="C44" s="1" t="s">
        <v>215</v>
      </c>
      <c r="D44" s="17">
        <v>31962075.063999999</v>
      </c>
      <c r="E44" s="17">
        <v>31389832.191999998</v>
      </c>
      <c r="F44" s="17">
        <v>30887111.496000003</v>
      </c>
      <c r="G44" s="17">
        <v>27674658.719999999</v>
      </c>
      <c r="H44" s="17">
        <v>25001165.223999992</v>
      </c>
      <c r="I44" s="1">
        <v>30478419.368000001</v>
      </c>
      <c r="J44" s="1">
        <v>-17.9709258471281</v>
      </c>
      <c r="K44" s="1">
        <v>-8.0090081078371149</v>
      </c>
      <c r="L44" s="1">
        <v>-9.9619177392909855</v>
      </c>
      <c r="M44" s="50">
        <v>-13.65</v>
      </c>
      <c r="N44" s="1">
        <f>M44+K44</f>
        <v>-21.659008107837117</v>
      </c>
      <c r="O44" s="38">
        <f>I44+((N44*I44)/100)</f>
        <v>23877096.045944281</v>
      </c>
      <c r="P44" s="38">
        <f>H44</f>
        <v>25001165.223999992</v>
      </c>
      <c r="Q44" s="102">
        <f>ABS((O44-H44)/H44)*100</f>
        <v>4.4960671552086513</v>
      </c>
      <c r="V44" s="47">
        <f>(O44-P44)</f>
        <v>-1124069.1780557111</v>
      </c>
    </row>
    <row r="45" spans="1:24" ht="15.6" x14ac:dyDescent="0.3">
      <c r="A45" s="7"/>
      <c r="B45" s="1" t="s">
        <v>138</v>
      </c>
      <c r="C45" s="1" t="s">
        <v>216</v>
      </c>
      <c r="D45" s="17">
        <v>27235140.030000001</v>
      </c>
      <c r="E45" s="17">
        <v>28261723.059999999</v>
      </c>
      <c r="F45" s="17">
        <v>29261317.649999999</v>
      </c>
      <c r="G45" s="17">
        <v>25243722.100000001</v>
      </c>
      <c r="H45" s="17">
        <v>24512817.800000001</v>
      </c>
      <c r="I45" s="1">
        <v>27500475.710000001</v>
      </c>
      <c r="J45" s="1">
        <v>-10.864022650028552</v>
      </c>
      <c r="K45" s="1">
        <v>-7.2588762167099778</v>
      </c>
      <c r="L45" s="1">
        <v>-3.6051464333185743</v>
      </c>
      <c r="M45" s="51">
        <v>-8.6270000000000007</v>
      </c>
      <c r="N45" s="1">
        <f t="shared" ref="N45:N57" si="13">M45+K45</f>
        <v>-15.885876216709978</v>
      </c>
      <c r="O45" s="38">
        <f t="shared" ref="O45:O57" si="14">I45+((N45*I45)/100)</f>
        <v>23131784.179703005</v>
      </c>
      <c r="P45" s="38">
        <f t="shared" ref="P45:P57" si="15">H45</f>
        <v>24512817.800000001</v>
      </c>
      <c r="Q45" s="102">
        <f t="shared" ref="Q45:Q57" si="16">ABS((O45-H45)/H45)*100</f>
        <v>5.633924388313269</v>
      </c>
      <c r="V45" s="47">
        <f t="shared" ref="V45:V57" si="17">(O45-P45)</f>
        <v>-1381033.6202969961</v>
      </c>
    </row>
    <row r="46" spans="1:24" ht="15.6" x14ac:dyDescent="0.3">
      <c r="A46" s="2" t="s">
        <v>133</v>
      </c>
      <c r="B46" s="1" t="s">
        <v>139</v>
      </c>
      <c r="C46" s="1" t="s">
        <v>217</v>
      </c>
      <c r="D46" s="17">
        <v>31957263.199999999</v>
      </c>
      <c r="E46" s="17">
        <v>31021032.050000001</v>
      </c>
      <c r="F46" s="17">
        <v>30016114.25</v>
      </c>
      <c r="G46" s="17">
        <v>25024126.18</v>
      </c>
      <c r="H46" s="17">
        <v>24126175.350000001</v>
      </c>
      <c r="I46" s="1">
        <v>29504633.920000002</v>
      </c>
      <c r="J46" s="1">
        <v>-18.229199469423545</v>
      </c>
      <c r="K46" s="1">
        <v>-9.6552800346627414</v>
      </c>
      <c r="L46" s="1">
        <v>-8.5739194347608034</v>
      </c>
      <c r="M46" s="51">
        <v>0</v>
      </c>
      <c r="N46" s="1">
        <f t="shared" si="13"/>
        <v>-9.6552800346627414</v>
      </c>
      <c r="O46" s="38">
        <f t="shared" si="14"/>
        <v>26655878.89182191</v>
      </c>
      <c r="P46" s="38">
        <f t="shared" si="15"/>
        <v>24126175.350000001</v>
      </c>
      <c r="Q46" s="102">
        <f t="shared" si="16"/>
        <v>10.485306954473032</v>
      </c>
      <c r="V46" s="47">
        <f t="shared" si="17"/>
        <v>2529703.5418219082</v>
      </c>
    </row>
    <row r="47" spans="1:24" ht="15.6" x14ac:dyDescent="0.3">
      <c r="A47" s="13"/>
      <c r="B47" s="1" t="s">
        <v>140</v>
      </c>
      <c r="C47" s="1" t="s">
        <v>218</v>
      </c>
      <c r="D47" s="17">
        <v>30050152.559999999</v>
      </c>
      <c r="E47" s="17">
        <v>26598716.23</v>
      </c>
      <c r="F47" s="17">
        <v>26845795.579999998</v>
      </c>
      <c r="G47" s="17">
        <v>27003129.120000001</v>
      </c>
      <c r="H47" s="17">
        <v>25429718.52</v>
      </c>
      <c r="I47" s="1">
        <v>27624448.372500002</v>
      </c>
      <c r="J47" s="1">
        <v>-7.9448820946768484</v>
      </c>
      <c r="K47" s="1">
        <v>-4.1994223233244732</v>
      </c>
      <c r="L47" s="1">
        <v>-3.7454597713523752</v>
      </c>
      <c r="M47" s="51">
        <v>-11.9902</v>
      </c>
      <c r="N47" s="1">
        <f t="shared" si="13"/>
        <v>-16.189622323324471</v>
      </c>
      <c r="O47" s="38">
        <f t="shared" si="14"/>
        <v>23152154.512090497</v>
      </c>
      <c r="P47" s="38">
        <f t="shared" si="15"/>
        <v>25429718.52</v>
      </c>
      <c r="Q47" s="102">
        <f t="shared" si="16"/>
        <v>8.9563083685658622</v>
      </c>
      <c r="V47" s="47">
        <f t="shared" si="17"/>
        <v>-2277564.0079095028</v>
      </c>
    </row>
    <row r="48" spans="1:24" ht="15.6" x14ac:dyDescent="0.3">
      <c r="A48" s="13"/>
      <c r="B48" s="1" t="s">
        <v>141</v>
      </c>
      <c r="C48" s="1" t="s">
        <v>219</v>
      </c>
      <c r="D48" s="17">
        <v>30101526.079999998</v>
      </c>
      <c r="E48" s="17">
        <v>28313128.739999998</v>
      </c>
      <c r="F48" s="17">
        <v>28015138.359999999</v>
      </c>
      <c r="G48" s="17">
        <v>24826248.280000001</v>
      </c>
      <c r="H48" s="17">
        <v>24516278.84</v>
      </c>
      <c r="I48" s="1">
        <v>27814010.364999998</v>
      </c>
      <c r="J48" s="1">
        <v>-11.856368361571217</v>
      </c>
      <c r="K48" s="1">
        <v>-7.4351603774193862</v>
      </c>
      <c r="L48" s="1">
        <v>-4.421207984151831</v>
      </c>
      <c r="M48" s="52">
        <v>-13.65</v>
      </c>
      <c r="N48" s="1">
        <f t="shared" si="13"/>
        <v>-21.085160377419385</v>
      </c>
      <c r="O48" s="38">
        <f t="shared" si="14"/>
        <v>21949381.672147699</v>
      </c>
      <c r="P48" s="38">
        <f t="shared" si="15"/>
        <v>24516278.84</v>
      </c>
      <c r="Q48" s="102">
        <f t="shared" si="16"/>
        <v>10.470174468990912</v>
      </c>
      <c r="V48" s="47">
        <f t="shared" si="17"/>
        <v>-2566897.1678523012</v>
      </c>
    </row>
    <row r="49" spans="1:24" ht="15.6" x14ac:dyDescent="0.3">
      <c r="A49" s="13"/>
      <c r="B49" s="1" t="s">
        <v>142</v>
      </c>
      <c r="C49" s="1" t="s">
        <v>220</v>
      </c>
      <c r="D49" s="17">
        <v>22303982.776000001</v>
      </c>
      <c r="E49" s="17">
        <v>29489179.431999993</v>
      </c>
      <c r="F49" s="17">
        <v>31781409.335999999</v>
      </c>
      <c r="G49" s="17">
        <v>29018456.952000003</v>
      </c>
      <c r="H49" s="17">
        <v>23904977.280000001</v>
      </c>
      <c r="I49" s="1">
        <v>28148257.123999998</v>
      </c>
      <c r="J49" s="1">
        <v>-15.074751610045714</v>
      </c>
      <c r="K49" s="1">
        <v>-3.0757634413158739</v>
      </c>
      <c r="L49" s="1">
        <v>-11.998988168729841</v>
      </c>
      <c r="M49" s="52">
        <v>-10.5</v>
      </c>
      <c r="N49" s="1">
        <f t="shared" si="13"/>
        <v>-13.575763441315875</v>
      </c>
      <c r="O49" s="38">
        <f t="shared" si="14"/>
        <v>24326916.323992416</v>
      </c>
      <c r="P49" s="38">
        <f t="shared" si="15"/>
        <v>23904977.280000001</v>
      </c>
      <c r="Q49" s="102">
        <f t="shared" si="16"/>
        <v>1.7650677473993193</v>
      </c>
      <c r="V49" s="47">
        <f t="shared" si="17"/>
        <v>421939.04399241507</v>
      </c>
    </row>
    <row r="50" spans="1:24" ht="15.6" x14ac:dyDescent="0.3">
      <c r="A50" s="13"/>
      <c r="B50" s="1" t="s">
        <v>143</v>
      </c>
      <c r="C50" s="1" t="s">
        <v>221</v>
      </c>
      <c r="D50" s="17">
        <v>28929860.432</v>
      </c>
      <c r="E50" s="17">
        <v>23254492.015999991</v>
      </c>
      <c r="F50" s="17">
        <v>25535227.792000003</v>
      </c>
      <c r="G50" s="17">
        <v>22107167.400000002</v>
      </c>
      <c r="H50" s="17">
        <v>20221836.344000001</v>
      </c>
      <c r="I50" s="1">
        <v>24956686.91</v>
      </c>
      <c r="J50" s="1">
        <v>-18.972272173285841</v>
      </c>
      <c r="K50" s="1">
        <v>-8.4619821154868404</v>
      </c>
      <c r="L50" s="1">
        <v>-10.510290057799001</v>
      </c>
      <c r="M50" s="51">
        <v>0</v>
      </c>
      <c r="N50" s="1">
        <f t="shared" si="13"/>
        <v>-8.4619821154868404</v>
      </c>
      <c r="O50" s="38">
        <f t="shared" si="14"/>
        <v>22844856.527057756</v>
      </c>
      <c r="P50" s="38">
        <f t="shared" si="15"/>
        <v>20221836.344000001</v>
      </c>
      <c r="Q50" s="102">
        <f t="shared" si="16"/>
        <v>12.97122644272625</v>
      </c>
      <c r="V50" s="47">
        <f t="shared" si="17"/>
        <v>2623020.1830577552</v>
      </c>
    </row>
    <row r="51" spans="1:24" ht="15.6" x14ac:dyDescent="0.3">
      <c r="A51" s="13"/>
      <c r="B51" s="1" t="s">
        <v>144</v>
      </c>
      <c r="C51" s="1" t="s">
        <v>222</v>
      </c>
      <c r="D51" s="17">
        <v>23254492.015999991</v>
      </c>
      <c r="E51" s="17">
        <v>25535227.792000003</v>
      </c>
      <c r="F51" s="17">
        <v>22107167.400000002</v>
      </c>
      <c r="G51" s="17">
        <v>20221836.344000001</v>
      </c>
      <c r="H51" s="17">
        <v>20717922.855999995</v>
      </c>
      <c r="I51" s="1">
        <v>22779680.888</v>
      </c>
      <c r="J51" s="1">
        <v>-9.0508644178861566</v>
      </c>
      <c r="K51" s="1">
        <v>-2.6012736104602441</v>
      </c>
      <c r="L51" s="1">
        <v>-6.4495908074259125</v>
      </c>
      <c r="M51" s="52">
        <v>-12</v>
      </c>
      <c r="N51" s="1">
        <f t="shared" si="13"/>
        <v>-14.601273610460243</v>
      </c>
      <c r="O51" s="38">
        <f t="shared" si="14"/>
        <v>19453557.353953399</v>
      </c>
      <c r="P51" s="38">
        <f t="shared" si="15"/>
        <v>20717922.855999995</v>
      </c>
      <c r="Q51" s="102">
        <f t="shared" si="16"/>
        <v>6.1027618976794811</v>
      </c>
      <c r="V51" s="47">
        <f t="shared" si="17"/>
        <v>-1264365.5020465963</v>
      </c>
    </row>
    <row r="52" spans="1:24" ht="15.6" x14ac:dyDescent="0.3">
      <c r="A52" s="2" t="s">
        <v>134</v>
      </c>
      <c r="B52" s="1" t="s">
        <v>145</v>
      </c>
      <c r="C52" s="1" t="s">
        <v>223</v>
      </c>
      <c r="D52" s="17">
        <v>33264636.728000011</v>
      </c>
      <c r="E52" s="17">
        <v>31685393.768160004</v>
      </c>
      <c r="F52" s="17">
        <v>32736842.800000008</v>
      </c>
      <c r="G52" s="17">
        <v>31201639.880000003</v>
      </c>
      <c r="H52" s="17">
        <v>25986091.631999992</v>
      </c>
      <c r="I52" s="1">
        <v>32222128.294040009</v>
      </c>
      <c r="J52" s="1">
        <v>-19.353273642056323</v>
      </c>
      <c r="K52" s="1">
        <v>-10.471502333919931</v>
      </c>
      <c r="L52" s="1">
        <v>-8.8817713081363916</v>
      </c>
      <c r="M52" s="52">
        <v>-14.3108</v>
      </c>
      <c r="N52" s="1">
        <f t="shared" si="13"/>
        <v>-24.78230233391993</v>
      </c>
      <c r="O52" s="38">
        <f t="shared" si="14"/>
        <v>24236743.041787457</v>
      </c>
      <c r="P52" s="38">
        <f t="shared" si="15"/>
        <v>25986091.631999992</v>
      </c>
      <c r="Q52" s="102">
        <f t="shared" si="16"/>
        <v>6.731864933695296</v>
      </c>
      <c r="V52" s="47">
        <f t="shared" si="17"/>
        <v>-1749348.5902125351</v>
      </c>
    </row>
    <row r="53" spans="1:24" ht="15.6" x14ac:dyDescent="0.3">
      <c r="A53" s="13"/>
      <c r="B53" s="1" t="s">
        <v>146</v>
      </c>
      <c r="C53" s="1" t="s">
        <v>224</v>
      </c>
      <c r="D53" s="17">
        <v>28258348.390000001</v>
      </c>
      <c r="E53" s="17">
        <v>30515258.920000002</v>
      </c>
      <c r="F53" s="17">
        <v>30187192.210000001</v>
      </c>
      <c r="G53" s="17">
        <v>28987478.309999999</v>
      </c>
      <c r="H53" s="17">
        <v>26009814.719999999</v>
      </c>
      <c r="I53" s="1">
        <v>29487069.457500003</v>
      </c>
      <c r="J53" s="1">
        <v>-11.792473112703876</v>
      </c>
      <c r="K53" s="1">
        <v>-8.2612614383211351</v>
      </c>
      <c r="L53" s="1">
        <v>-3.5312116743827406</v>
      </c>
      <c r="M53" s="51">
        <v>-7.3342000000000001</v>
      </c>
      <c r="N53" s="1">
        <f t="shared" si="13"/>
        <v>-15.595461438321134</v>
      </c>
      <c r="O53" s="38">
        <f t="shared" si="14"/>
        <v>24888424.910964623</v>
      </c>
      <c r="P53" s="38">
        <f t="shared" si="15"/>
        <v>26009814.719999999</v>
      </c>
      <c r="Q53" s="102">
        <f t="shared" si="16"/>
        <v>4.3114102161331189</v>
      </c>
      <c r="V53" s="47">
        <f t="shared" si="17"/>
        <v>-1121389.8090353757</v>
      </c>
    </row>
    <row r="54" spans="1:24" ht="15.6" x14ac:dyDescent="0.3">
      <c r="A54" s="13"/>
      <c r="B54" s="1" t="s">
        <v>147</v>
      </c>
      <c r="C54" s="1" t="s">
        <v>175</v>
      </c>
      <c r="D54" s="17">
        <v>32988765.829999998</v>
      </c>
      <c r="E54" s="17">
        <v>31713502.140000001</v>
      </c>
      <c r="F54" s="17">
        <v>30089571.289999999</v>
      </c>
      <c r="G54" s="17">
        <v>23894816.870000001</v>
      </c>
      <c r="H54" s="17">
        <v>24792648.940000001</v>
      </c>
      <c r="I54" s="1">
        <v>29671664.032499999</v>
      </c>
      <c r="J54" s="1">
        <v>-16.44334839851216</v>
      </c>
      <c r="K54" s="1">
        <v>-12.100568081853563</v>
      </c>
      <c r="L54" s="1">
        <v>-4.3427803166585974</v>
      </c>
      <c r="M54" s="52">
        <v>0</v>
      </c>
      <c r="N54" s="1">
        <f t="shared" si="13"/>
        <v>-12.100568081853563</v>
      </c>
      <c r="O54" s="38">
        <f t="shared" si="14"/>
        <v>26081224.12522848</v>
      </c>
      <c r="P54" s="38">
        <f t="shared" si="15"/>
        <v>24792648.940000001</v>
      </c>
      <c r="Q54" s="102">
        <f t="shared" si="16"/>
        <v>5.197408265437562</v>
      </c>
      <c r="V54" s="47">
        <f t="shared" si="17"/>
        <v>1288575.1852284782</v>
      </c>
    </row>
    <row r="55" spans="1:24" ht="15.6" x14ac:dyDescent="0.3">
      <c r="A55" s="2" t="s">
        <v>135</v>
      </c>
      <c r="B55" s="21" t="s">
        <v>148</v>
      </c>
      <c r="C55" s="1" t="s">
        <v>225</v>
      </c>
      <c r="D55" s="17">
        <v>32770227.68</v>
      </c>
      <c r="E55" s="17">
        <v>30045391.120000005</v>
      </c>
      <c r="F55" s="17">
        <v>28826716.32</v>
      </c>
      <c r="G55" s="17">
        <v>22574331.095999993</v>
      </c>
      <c r="H55" s="17">
        <v>23546634.488000005</v>
      </c>
      <c r="I55" s="1">
        <v>28554166.553999998</v>
      </c>
      <c r="J55" s="1">
        <v>-17.536957545337685</v>
      </c>
      <c r="K55" s="1">
        <v>-4.1531216977287055</v>
      </c>
      <c r="L55" s="1">
        <v>-13.38383584760898</v>
      </c>
      <c r="M55" s="52">
        <v>-14.2233</v>
      </c>
      <c r="N55" s="1">
        <f t="shared" si="13"/>
        <v>-18.376421697728706</v>
      </c>
      <c r="O55" s="38">
        <f t="shared" si="14"/>
        <v>23306932.49576515</v>
      </c>
      <c r="P55" s="38">
        <f t="shared" si="15"/>
        <v>23546634.488000005</v>
      </c>
      <c r="Q55" s="102">
        <f t="shared" si="16"/>
        <v>1.0179883344136269</v>
      </c>
      <c r="V55" s="47">
        <f t="shared" si="17"/>
        <v>-239701.99223485589</v>
      </c>
    </row>
    <row r="56" spans="1:24" ht="15.6" x14ac:dyDescent="0.3">
      <c r="A56" s="13" t="s">
        <v>136</v>
      </c>
      <c r="B56" s="21" t="s">
        <v>149</v>
      </c>
      <c r="C56" s="1" t="s">
        <v>226</v>
      </c>
      <c r="D56" s="17">
        <v>31781409.335999999</v>
      </c>
      <c r="E56" s="17">
        <v>29018456.952000003</v>
      </c>
      <c r="F56" s="17">
        <v>23904977.280000001</v>
      </c>
      <c r="G56" s="17">
        <v>24557871.024000008</v>
      </c>
      <c r="H56" s="17">
        <v>22710128.848000001</v>
      </c>
      <c r="I56" s="1">
        <v>27315678.648000002</v>
      </c>
      <c r="J56" s="1">
        <v>-16.860462664496932</v>
      </c>
      <c r="K56" s="1">
        <v>-14.729437062818983</v>
      </c>
      <c r="L56" s="1">
        <v>-2.1310256016779494</v>
      </c>
      <c r="M56" s="52">
        <v>-6</v>
      </c>
      <c r="N56" s="1">
        <f t="shared" si="13"/>
        <v>-20.729437062818981</v>
      </c>
      <c r="O56" s="38">
        <f t="shared" si="14"/>
        <v>21653292.23438096</v>
      </c>
      <c r="P56" s="38">
        <f t="shared" si="15"/>
        <v>22710128.848000001</v>
      </c>
      <c r="Q56" s="102">
        <f t="shared" si="16"/>
        <v>4.6535914467614852</v>
      </c>
      <c r="V56" s="47">
        <f t="shared" si="17"/>
        <v>-1056836.6136190407</v>
      </c>
    </row>
    <row r="57" spans="1:24" ht="15.6" x14ac:dyDescent="0.3">
      <c r="A57" s="13"/>
      <c r="B57" s="22" t="s">
        <v>29</v>
      </c>
      <c r="C57" s="1" t="s">
        <v>227</v>
      </c>
      <c r="D57" s="17">
        <v>23174758.050000001</v>
      </c>
      <c r="E57" s="17">
        <v>30251428.73</v>
      </c>
      <c r="F57" s="17">
        <v>29853482.469999999</v>
      </c>
      <c r="G57" s="17">
        <v>29008793.579999998</v>
      </c>
      <c r="H57" s="17">
        <v>25031135.780000001</v>
      </c>
      <c r="I57" s="1">
        <v>28072115.7075</v>
      </c>
      <c r="J57" s="1">
        <v>-10.832742210048467</v>
      </c>
      <c r="K57" s="1">
        <v>-6.7678605279049853</v>
      </c>
      <c r="L57" s="1">
        <v>-4.0648816821434819</v>
      </c>
      <c r="M57" s="51">
        <v>0</v>
      </c>
      <c r="N57" s="1">
        <f t="shared" si="13"/>
        <v>-6.7678605279049853</v>
      </c>
      <c r="O57" s="38">
        <f t="shared" si="14"/>
        <v>26172234.069184292</v>
      </c>
      <c r="P57" s="38">
        <f t="shared" si="15"/>
        <v>25031135.780000001</v>
      </c>
      <c r="Q57" s="102">
        <f t="shared" si="16"/>
        <v>4.5587155901093146</v>
      </c>
      <c r="V57" s="47">
        <f t="shared" si="17"/>
        <v>1141098.2891842909</v>
      </c>
    </row>
    <row r="58" spans="1:24" ht="15.6" x14ac:dyDescent="0.3">
      <c r="A58" s="7"/>
      <c r="B58" s="21"/>
      <c r="C58" s="1"/>
      <c r="D58" s="17"/>
      <c r="E58" s="17"/>
      <c r="F58" s="17"/>
      <c r="G58" s="17"/>
      <c r="H58" s="17"/>
      <c r="I58" s="1"/>
      <c r="J58" s="1"/>
      <c r="K58" s="1"/>
      <c r="L58" s="1"/>
      <c r="M58" s="1"/>
      <c r="N58" s="1"/>
      <c r="O58" s="1"/>
      <c r="P58" s="37" t="s">
        <v>35</v>
      </c>
      <c r="Q58" s="37">
        <f>SUM(Q44:Q57)/14</f>
        <v>6.2394154435647993</v>
      </c>
      <c r="R58" s="36" t="s">
        <v>58</v>
      </c>
      <c r="S58">
        <f>SQRT(SUMXMY2(O44:O57, P44:P57) / COUNT(P44:P57))</f>
        <v>1657406.7396336766</v>
      </c>
      <c r="T58" s="36" t="s">
        <v>59</v>
      </c>
      <c r="U58" s="36">
        <f>RSQ(O44:O57,P44:P57)</f>
        <v>0.35070438131337139</v>
      </c>
      <c r="V58" s="36" t="s">
        <v>60</v>
      </c>
      <c r="W58" s="36">
        <f t="array" ref="W58">AVERAGE(ABS(V44:V57))</f>
        <v>1484681.6231819831</v>
      </c>
      <c r="X58" s="36" cm="1">
        <f t="array" ref="X58">SUMPRODUCT(ABS(O44:O57 - P44:P57)) / COUNT(O44:O57)</f>
        <v>1484681.6231819831</v>
      </c>
    </row>
    <row r="59" spans="1:24" ht="15.6" x14ac:dyDescent="0.3">
      <c r="A59" s="16"/>
      <c r="B59" s="16"/>
      <c r="C59" s="16"/>
      <c r="D59" s="33"/>
      <c r="E59" s="33"/>
      <c r="F59" s="33"/>
      <c r="G59" s="33"/>
      <c r="H59" s="33"/>
      <c r="I59" s="16"/>
      <c r="J59" s="16"/>
      <c r="K59" s="16"/>
      <c r="L59" s="16"/>
      <c r="M59" s="16"/>
      <c r="N59" s="16"/>
      <c r="O59" s="16"/>
      <c r="P59" s="16"/>
      <c r="Q59" s="16"/>
    </row>
    <row r="60" spans="1:24" ht="15.6" x14ac:dyDescent="0.3">
      <c r="A60" s="34" t="s">
        <v>211</v>
      </c>
      <c r="B60" s="16"/>
      <c r="C60" s="16"/>
      <c r="D60" s="33"/>
      <c r="E60" s="33"/>
      <c r="F60" s="33"/>
      <c r="G60" s="33"/>
      <c r="H60" s="33"/>
      <c r="I60" s="16"/>
      <c r="J60" s="16"/>
      <c r="K60" s="16"/>
      <c r="L60" s="16"/>
      <c r="M60" s="16"/>
      <c r="N60" s="16"/>
      <c r="O60" s="16"/>
      <c r="P60" s="16"/>
      <c r="Q60" s="16"/>
    </row>
    <row r="61" spans="1:24" ht="15.6" x14ac:dyDescent="0.3">
      <c r="A61" s="2" t="s">
        <v>123</v>
      </c>
      <c r="B61" s="2" t="s">
        <v>124</v>
      </c>
      <c r="C61" s="3" t="s">
        <v>125</v>
      </c>
      <c r="D61" s="107" t="s">
        <v>126</v>
      </c>
      <c r="E61" s="108"/>
      <c r="F61" s="108"/>
      <c r="G61" s="108"/>
      <c r="H61" s="108"/>
      <c r="I61" s="109" t="s">
        <v>25</v>
      </c>
      <c r="J61" s="109" t="s">
        <v>26</v>
      </c>
      <c r="K61" s="109" t="s">
        <v>28</v>
      </c>
      <c r="L61" s="109" t="s">
        <v>27</v>
      </c>
      <c r="M61" s="5" t="s">
        <v>0</v>
      </c>
      <c r="N61" s="4" t="s">
        <v>2</v>
      </c>
      <c r="O61" s="19" t="s">
        <v>3</v>
      </c>
      <c r="P61" s="6" t="s">
        <v>4</v>
      </c>
      <c r="Q61" s="5" t="s">
        <v>5</v>
      </c>
    </row>
    <row r="62" spans="1:24" ht="15.6" x14ac:dyDescent="0.3">
      <c r="A62" s="7"/>
      <c r="B62" s="7"/>
      <c r="C62" s="8"/>
      <c r="D62" s="9" t="s">
        <v>127</v>
      </c>
      <c r="E62" s="9" t="s">
        <v>128</v>
      </c>
      <c r="F62" s="9" t="s">
        <v>129</v>
      </c>
      <c r="G62" s="9" t="s">
        <v>130</v>
      </c>
      <c r="H62" s="9" t="s">
        <v>131</v>
      </c>
      <c r="I62" s="110"/>
      <c r="J62" s="110"/>
      <c r="K62" s="110"/>
      <c r="L62" s="110"/>
      <c r="M62" s="10" t="s">
        <v>1</v>
      </c>
      <c r="N62" s="11" t="s">
        <v>26</v>
      </c>
      <c r="O62" s="20" t="s">
        <v>51</v>
      </c>
      <c r="P62" s="12" t="s">
        <v>52</v>
      </c>
      <c r="Q62" s="10" t="s">
        <v>6</v>
      </c>
    </row>
    <row r="63" spans="1:24" ht="15.6" x14ac:dyDescent="0.3">
      <c r="A63" s="2" t="s">
        <v>132</v>
      </c>
      <c r="B63" s="1" t="s">
        <v>137</v>
      </c>
      <c r="C63" s="1" t="s">
        <v>215</v>
      </c>
      <c r="D63" s="17">
        <v>31962075.063999999</v>
      </c>
      <c r="E63" s="17">
        <v>31389832.191999998</v>
      </c>
      <c r="F63" s="17">
        <v>30887111.496000003</v>
      </c>
      <c r="G63" s="17">
        <v>27674658.719999999</v>
      </c>
      <c r="H63" s="17">
        <v>25001165.223999992</v>
      </c>
      <c r="I63" s="1">
        <v>30478419.368000001</v>
      </c>
      <c r="J63" s="1">
        <v>-17.9709258471281</v>
      </c>
      <c r="K63" s="1">
        <v>-8.0090081078371149</v>
      </c>
      <c r="L63" s="1">
        <v>-9.9619177392909855</v>
      </c>
      <c r="M63" s="50">
        <v>-13.65</v>
      </c>
      <c r="N63" s="1">
        <f>M63+K63</f>
        <v>-21.659008107837117</v>
      </c>
      <c r="O63" s="38">
        <f>I63+((N63*I63)/100)</f>
        <v>23877096.045944281</v>
      </c>
      <c r="P63" s="38">
        <f>H63</f>
        <v>25001165.223999992</v>
      </c>
      <c r="Q63" s="102">
        <f>ABS((O63-H63)/H63)*100</f>
        <v>4.4960671552086513</v>
      </c>
      <c r="V63" s="47">
        <f>(O63-P63)</f>
        <v>-1124069.1780557111</v>
      </c>
    </row>
    <row r="64" spans="1:24" ht="15.6" x14ac:dyDescent="0.3">
      <c r="A64" s="7"/>
      <c r="B64" s="1" t="s">
        <v>138</v>
      </c>
      <c r="C64" s="1" t="s">
        <v>216</v>
      </c>
      <c r="D64" s="17">
        <v>27235140.030000001</v>
      </c>
      <c r="E64" s="17">
        <v>28261723.059999999</v>
      </c>
      <c r="F64" s="17">
        <v>29261317.649999999</v>
      </c>
      <c r="G64" s="17">
        <v>25243722.100000001</v>
      </c>
      <c r="H64" s="17">
        <v>24512817.800000001</v>
      </c>
      <c r="I64" s="1">
        <v>27500475.710000001</v>
      </c>
      <c r="J64" s="1">
        <v>-10.864022650028552</v>
      </c>
      <c r="K64" s="1">
        <v>-7.2588762167099778</v>
      </c>
      <c r="L64" s="1">
        <v>-3.6051464333185743</v>
      </c>
      <c r="M64" s="51">
        <v>-8.6270000000000007</v>
      </c>
      <c r="N64" s="1">
        <f t="shared" ref="N64:N76" si="18">M64+K64</f>
        <v>-15.885876216709978</v>
      </c>
      <c r="O64" s="38">
        <f t="shared" ref="O64:O76" si="19">I64+((N64*I64)/100)</f>
        <v>23131784.179703005</v>
      </c>
      <c r="P64" s="38">
        <f t="shared" ref="P64:P76" si="20">H64</f>
        <v>24512817.800000001</v>
      </c>
      <c r="Q64" s="102">
        <f t="shared" ref="Q64:Q76" si="21">ABS((O64-H64)/H64)*100</f>
        <v>5.633924388313269</v>
      </c>
      <c r="V64" s="47">
        <f t="shared" ref="V64:V76" si="22">(O64-P64)</f>
        <v>-1381033.6202969961</v>
      </c>
    </row>
    <row r="65" spans="1:24" ht="15.6" x14ac:dyDescent="0.3">
      <c r="A65" s="2" t="s">
        <v>133</v>
      </c>
      <c r="B65" s="1" t="s">
        <v>139</v>
      </c>
      <c r="C65" s="1" t="s">
        <v>217</v>
      </c>
      <c r="D65" s="17">
        <v>31957263.199999999</v>
      </c>
      <c r="E65" s="17">
        <v>31021032.050000001</v>
      </c>
      <c r="F65" s="17">
        <v>30016114.25</v>
      </c>
      <c r="G65" s="17">
        <v>25024126.18</v>
      </c>
      <c r="H65" s="17">
        <v>24126175.350000001</v>
      </c>
      <c r="I65" s="1">
        <v>29504633.920000002</v>
      </c>
      <c r="J65" s="1">
        <v>-18.229199469423545</v>
      </c>
      <c r="K65" s="1">
        <v>-9.6552800346627414</v>
      </c>
      <c r="L65" s="1">
        <v>-8.5739194347608034</v>
      </c>
      <c r="M65" s="51">
        <v>0</v>
      </c>
      <c r="N65" s="1">
        <f t="shared" si="18"/>
        <v>-9.6552800346627414</v>
      </c>
      <c r="O65" s="38">
        <f t="shared" si="19"/>
        <v>26655878.89182191</v>
      </c>
      <c r="P65" s="38">
        <f t="shared" si="20"/>
        <v>24126175.350000001</v>
      </c>
      <c r="Q65" s="102">
        <f t="shared" si="21"/>
        <v>10.485306954473032</v>
      </c>
      <c r="V65" s="47">
        <f t="shared" si="22"/>
        <v>2529703.5418219082</v>
      </c>
    </row>
    <row r="66" spans="1:24" ht="15.6" x14ac:dyDescent="0.3">
      <c r="A66" s="13"/>
      <c r="B66" s="1" t="s">
        <v>140</v>
      </c>
      <c r="C66" s="1" t="s">
        <v>218</v>
      </c>
      <c r="D66" s="17">
        <v>30050152.559999999</v>
      </c>
      <c r="E66" s="17">
        <v>26598716.23</v>
      </c>
      <c r="F66" s="17">
        <v>26845795.579999998</v>
      </c>
      <c r="G66" s="17">
        <v>27003129.120000001</v>
      </c>
      <c r="H66" s="17">
        <v>25429718.52</v>
      </c>
      <c r="I66" s="1">
        <v>27624448.372500002</v>
      </c>
      <c r="J66" s="1">
        <v>-7.9448820946768484</v>
      </c>
      <c r="K66" s="1">
        <v>-4.1994223233244732</v>
      </c>
      <c r="L66" s="1">
        <v>-3.7454597713523752</v>
      </c>
      <c r="M66" s="51">
        <v>-11.9474</v>
      </c>
      <c r="N66" s="1">
        <f t="shared" si="18"/>
        <v>-16.146822323324471</v>
      </c>
      <c r="O66" s="38">
        <f t="shared" si="19"/>
        <v>23163977.775993928</v>
      </c>
      <c r="P66" s="38">
        <f t="shared" si="20"/>
        <v>25429718.52</v>
      </c>
      <c r="Q66" s="102">
        <f t="shared" si="21"/>
        <v>8.9098144842779465</v>
      </c>
      <c r="V66" s="47">
        <f t="shared" si="22"/>
        <v>-2265740.7440060712</v>
      </c>
    </row>
    <row r="67" spans="1:24" ht="15.6" x14ac:dyDescent="0.3">
      <c r="A67" s="13"/>
      <c r="B67" s="1" t="s">
        <v>141</v>
      </c>
      <c r="C67" s="1" t="s">
        <v>219</v>
      </c>
      <c r="D67" s="17">
        <v>30101526.079999998</v>
      </c>
      <c r="E67" s="17">
        <v>28313128.739999998</v>
      </c>
      <c r="F67" s="17">
        <v>28015138.359999999</v>
      </c>
      <c r="G67" s="17">
        <v>24826248.280000001</v>
      </c>
      <c r="H67" s="17">
        <v>24516278.84</v>
      </c>
      <c r="I67" s="1">
        <v>27814010.364999998</v>
      </c>
      <c r="J67" s="1">
        <v>-11.856368361571217</v>
      </c>
      <c r="K67" s="1">
        <v>-7.4351603774193862</v>
      </c>
      <c r="L67" s="1">
        <v>-4.421207984151831</v>
      </c>
      <c r="M67" s="51">
        <v>-13.65</v>
      </c>
      <c r="N67" s="1">
        <f t="shared" si="18"/>
        <v>-21.085160377419385</v>
      </c>
      <c r="O67" s="38">
        <f t="shared" si="19"/>
        <v>21949381.672147699</v>
      </c>
      <c r="P67" s="38">
        <f t="shared" si="20"/>
        <v>24516278.84</v>
      </c>
      <c r="Q67" s="102">
        <f t="shared" si="21"/>
        <v>10.470174468990912</v>
      </c>
      <c r="V67" s="47">
        <f t="shared" si="22"/>
        <v>-2566897.1678523012</v>
      </c>
    </row>
    <row r="68" spans="1:24" ht="15.6" x14ac:dyDescent="0.3">
      <c r="A68" s="13"/>
      <c r="B68" s="1" t="s">
        <v>142</v>
      </c>
      <c r="C68" s="1" t="s">
        <v>220</v>
      </c>
      <c r="D68" s="17">
        <v>22303982.776000001</v>
      </c>
      <c r="E68" s="17">
        <v>29489179.431999993</v>
      </c>
      <c r="F68" s="17">
        <v>31781409.335999999</v>
      </c>
      <c r="G68" s="17">
        <v>29018456.952000003</v>
      </c>
      <c r="H68" s="17">
        <v>23904977.280000001</v>
      </c>
      <c r="I68" s="1">
        <v>28148257.123999998</v>
      </c>
      <c r="J68" s="1">
        <v>-15.074751610045714</v>
      </c>
      <c r="K68" s="1">
        <v>-3.0757634413158739</v>
      </c>
      <c r="L68" s="1">
        <v>-11.998988168729841</v>
      </c>
      <c r="M68" s="51">
        <v>-10.5</v>
      </c>
      <c r="N68" s="1">
        <f t="shared" si="18"/>
        <v>-13.575763441315875</v>
      </c>
      <c r="O68" s="38">
        <f t="shared" si="19"/>
        <v>24326916.323992416</v>
      </c>
      <c r="P68" s="38">
        <f t="shared" si="20"/>
        <v>23904977.280000001</v>
      </c>
      <c r="Q68" s="102">
        <f t="shared" si="21"/>
        <v>1.7650677473993193</v>
      </c>
      <c r="V68" s="47">
        <f t="shared" si="22"/>
        <v>421939.04399241507</v>
      </c>
    </row>
    <row r="69" spans="1:24" ht="15.6" x14ac:dyDescent="0.3">
      <c r="A69" s="13"/>
      <c r="B69" s="1" t="s">
        <v>143</v>
      </c>
      <c r="C69" s="1" t="s">
        <v>221</v>
      </c>
      <c r="D69" s="17">
        <v>28929860.432</v>
      </c>
      <c r="E69" s="17">
        <v>23254492.015999991</v>
      </c>
      <c r="F69" s="17">
        <v>25535227.792000003</v>
      </c>
      <c r="G69" s="17">
        <v>22107167.400000002</v>
      </c>
      <c r="H69" s="17">
        <v>20221836.344000001</v>
      </c>
      <c r="I69" s="1">
        <v>24956686.91</v>
      </c>
      <c r="J69" s="1">
        <v>-18.972272173285841</v>
      </c>
      <c r="K69" s="1">
        <v>-8.4619821154868404</v>
      </c>
      <c r="L69" s="1">
        <v>-10.510290057799001</v>
      </c>
      <c r="M69" s="51">
        <v>0</v>
      </c>
      <c r="N69" s="1">
        <f t="shared" si="18"/>
        <v>-8.4619821154868404</v>
      </c>
      <c r="O69" s="38">
        <f t="shared" si="19"/>
        <v>22844856.527057756</v>
      </c>
      <c r="P69" s="38">
        <f t="shared" si="20"/>
        <v>20221836.344000001</v>
      </c>
      <c r="Q69" s="102">
        <f t="shared" si="21"/>
        <v>12.97122644272625</v>
      </c>
      <c r="V69" s="47">
        <f t="shared" si="22"/>
        <v>2623020.1830577552</v>
      </c>
    </row>
    <row r="70" spans="1:24" ht="15.6" x14ac:dyDescent="0.3">
      <c r="A70" s="13"/>
      <c r="B70" s="1" t="s">
        <v>144</v>
      </c>
      <c r="C70" s="1" t="s">
        <v>222</v>
      </c>
      <c r="D70" s="17">
        <v>23254492.015999991</v>
      </c>
      <c r="E70" s="17">
        <v>25535227.792000003</v>
      </c>
      <c r="F70" s="17">
        <v>22107167.400000002</v>
      </c>
      <c r="G70" s="17">
        <v>20221836.344000001</v>
      </c>
      <c r="H70" s="17">
        <v>20717922.855999995</v>
      </c>
      <c r="I70" s="1">
        <v>22779680.888</v>
      </c>
      <c r="J70" s="1">
        <v>-9.0508644178861566</v>
      </c>
      <c r="K70" s="1">
        <v>-2.6012736104602441</v>
      </c>
      <c r="L70" s="1">
        <v>-6.4495908074259125</v>
      </c>
      <c r="M70" s="52">
        <v>-12</v>
      </c>
      <c r="N70" s="1">
        <f t="shared" si="18"/>
        <v>-14.601273610460243</v>
      </c>
      <c r="O70" s="38">
        <f t="shared" si="19"/>
        <v>19453557.353953399</v>
      </c>
      <c r="P70" s="38">
        <f t="shared" si="20"/>
        <v>20717922.855999995</v>
      </c>
      <c r="Q70" s="102">
        <f t="shared" si="21"/>
        <v>6.1027618976794811</v>
      </c>
      <c r="V70" s="47">
        <f t="shared" si="22"/>
        <v>-1264365.5020465963</v>
      </c>
    </row>
    <row r="71" spans="1:24" ht="15.6" x14ac:dyDescent="0.3">
      <c r="A71" s="2" t="s">
        <v>134</v>
      </c>
      <c r="B71" s="1" t="s">
        <v>145</v>
      </c>
      <c r="C71" s="1" t="s">
        <v>223</v>
      </c>
      <c r="D71" s="17">
        <v>33264636.728000011</v>
      </c>
      <c r="E71" s="17">
        <v>31685393.768160004</v>
      </c>
      <c r="F71" s="17">
        <v>32736842.800000008</v>
      </c>
      <c r="G71" s="17">
        <v>31201639.880000003</v>
      </c>
      <c r="H71" s="17">
        <v>25986091.631999992</v>
      </c>
      <c r="I71" s="1">
        <v>32222128.294040009</v>
      </c>
      <c r="J71" s="1">
        <v>-19.353273642056323</v>
      </c>
      <c r="K71" s="1">
        <v>-10.471502333919931</v>
      </c>
      <c r="L71" s="1">
        <v>-8.8817713081363916</v>
      </c>
      <c r="M71" s="52">
        <v>-14.276999999999999</v>
      </c>
      <c r="N71" s="1">
        <f t="shared" si="18"/>
        <v>-24.74850233391993</v>
      </c>
      <c r="O71" s="38">
        <f t="shared" si="19"/>
        <v>24247634.121150844</v>
      </c>
      <c r="P71" s="38">
        <f t="shared" si="20"/>
        <v>25986091.631999992</v>
      </c>
      <c r="Q71" s="102">
        <f t="shared" si="21"/>
        <v>6.6899537470589205</v>
      </c>
      <c r="V71" s="47">
        <f t="shared" si="22"/>
        <v>-1738457.510849148</v>
      </c>
    </row>
    <row r="72" spans="1:24" ht="15.6" x14ac:dyDescent="0.3">
      <c r="A72" s="13"/>
      <c r="B72" s="1" t="s">
        <v>146</v>
      </c>
      <c r="C72" s="1" t="s">
        <v>224</v>
      </c>
      <c r="D72" s="17">
        <v>28258348.390000001</v>
      </c>
      <c r="E72" s="17">
        <v>30515258.920000002</v>
      </c>
      <c r="F72" s="17">
        <v>30187192.210000001</v>
      </c>
      <c r="G72" s="17">
        <v>28987478.309999999</v>
      </c>
      <c r="H72" s="17">
        <v>26009814.719999999</v>
      </c>
      <c r="I72" s="1">
        <v>29487069.457500003</v>
      </c>
      <c r="J72" s="1">
        <v>-11.792473112703876</v>
      </c>
      <c r="K72" s="1">
        <v>-8.2612614383211351</v>
      </c>
      <c r="L72" s="1">
        <v>-3.5312116743827406</v>
      </c>
      <c r="M72" s="51">
        <v>-7.3463000000000003</v>
      </c>
      <c r="N72" s="1">
        <f t="shared" si="18"/>
        <v>-15.607561438321135</v>
      </c>
      <c r="O72" s="38">
        <f t="shared" si="19"/>
        <v>24884856.975560263</v>
      </c>
      <c r="P72" s="38">
        <f t="shared" si="20"/>
        <v>26009814.719999999</v>
      </c>
      <c r="Q72" s="102">
        <f t="shared" si="21"/>
        <v>4.3251278663462003</v>
      </c>
      <c r="V72" s="47">
        <f t="shared" si="22"/>
        <v>-1124957.744439736</v>
      </c>
    </row>
    <row r="73" spans="1:24" ht="15.6" x14ac:dyDescent="0.3">
      <c r="A73" s="13"/>
      <c r="B73" s="1" t="s">
        <v>147</v>
      </c>
      <c r="C73" s="1" t="s">
        <v>175</v>
      </c>
      <c r="D73" s="17">
        <v>32988765.829999998</v>
      </c>
      <c r="E73" s="17">
        <v>31713502.140000001</v>
      </c>
      <c r="F73" s="17">
        <v>30089571.289999999</v>
      </c>
      <c r="G73" s="17">
        <v>23894816.870000001</v>
      </c>
      <c r="H73" s="17">
        <v>24792648.940000001</v>
      </c>
      <c r="I73" s="1">
        <v>29671664.032499999</v>
      </c>
      <c r="J73" s="1">
        <v>-16.44334839851216</v>
      </c>
      <c r="K73" s="1">
        <v>-12.100568081853563</v>
      </c>
      <c r="L73" s="1">
        <v>-4.3427803166585974</v>
      </c>
      <c r="M73" s="52">
        <v>0</v>
      </c>
      <c r="N73" s="1">
        <f t="shared" si="18"/>
        <v>-12.100568081853563</v>
      </c>
      <c r="O73" s="38">
        <f t="shared" si="19"/>
        <v>26081224.12522848</v>
      </c>
      <c r="P73" s="38">
        <f t="shared" si="20"/>
        <v>24792648.940000001</v>
      </c>
      <c r="Q73" s="102">
        <f t="shared" si="21"/>
        <v>5.197408265437562</v>
      </c>
      <c r="V73" s="47">
        <f t="shared" si="22"/>
        <v>1288575.1852284782</v>
      </c>
    </row>
    <row r="74" spans="1:24" ht="15.6" x14ac:dyDescent="0.3">
      <c r="A74" s="2" t="s">
        <v>135</v>
      </c>
      <c r="B74" s="21" t="s">
        <v>148</v>
      </c>
      <c r="C74" s="1" t="s">
        <v>225</v>
      </c>
      <c r="D74" s="17">
        <v>32770227.68</v>
      </c>
      <c r="E74" s="17">
        <v>30045391.120000005</v>
      </c>
      <c r="F74" s="17">
        <v>28826716.32</v>
      </c>
      <c r="G74" s="17">
        <v>22574331.095999993</v>
      </c>
      <c r="H74" s="17">
        <v>23546634.488000005</v>
      </c>
      <c r="I74" s="1">
        <v>28554166.553999998</v>
      </c>
      <c r="J74" s="1">
        <v>-17.536957545337685</v>
      </c>
      <c r="K74" s="1">
        <v>-4.1531216977287055</v>
      </c>
      <c r="L74" s="1">
        <v>-13.38383584760898</v>
      </c>
      <c r="M74" s="52">
        <v>-14.103899999999999</v>
      </c>
      <c r="N74" s="1">
        <f t="shared" si="18"/>
        <v>-18.257021697728703</v>
      </c>
      <c r="O74" s="38">
        <f t="shared" si="19"/>
        <v>23341026.170630626</v>
      </c>
      <c r="P74" s="38">
        <f t="shared" si="20"/>
        <v>23546634.488000005</v>
      </c>
      <c r="Q74" s="102">
        <f t="shared" si="21"/>
        <v>0.87319619911780855</v>
      </c>
      <c r="V74" s="47">
        <f t="shared" si="22"/>
        <v>-205608.3173693791</v>
      </c>
    </row>
    <row r="75" spans="1:24" ht="15.6" x14ac:dyDescent="0.3">
      <c r="A75" s="13" t="s">
        <v>136</v>
      </c>
      <c r="B75" s="21" t="s">
        <v>149</v>
      </c>
      <c r="C75" s="1" t="s">
        <v>226</v>
      </c>
      <c r="D75" s="17">
        <v>31781409.335999999</v>
      </c>
      <c r="E75" s="17">
        <v>29018456.952000003</v>
      </c>
      <c r="F75" s="17">
        <v>23904977.280000001</v>
      </c>
      <c r="G75" s="17">
        <v>24557871.024000008</v>
      </c>
      <c r="H75" s="17">
        <v>22710128.848000001</v>
      </c>
      <c r="I75" s="1">
        <v>27315678.648000002</v>
      </c>
      <c r="J75" s="1">
        <v>-16.860462664496932</v>
      </c>
      <c r="K75" s="1">
        <v>-14.729437062818983</v>
      </c>
      <c r="L75" s="1">
        <v>-2.1310256016779494</v>
      </c>
      <c r="M75" s="52">
        <v>-6</v>
      </c>
      <c r="N75" s="1">
        <f t="shared" si="18"/>
        <v>-20.729437062818981</v>
      </c>
      <c r="O75" s="38">
        <f t="shared" si="19"/>
        <v>21653292.23438096</v>
      </c>
      <c r="P75" s="38">
        <f t="shared" si="20"/>
        <v>22710128.848000001</v>
      </c>
      <c r="Q75" s="102">
        <f t="shared" si="21"/>
        <v>4.6535914467614852</v>
      </c>
      <c r="V75" s="47">
        <f t="shared" si="22"/>
        <v>-1056836.6136190407</v>
      </c>
    </row>
    <row r="76" spans="1:24" ht="15.6" x14ac:dyDescent="0.3">
      <c r="A76" s="13"/>
      <c r="B76" s="22" t="s">
        <v>29</v>
      </c>
      <c r="C76" s="1" t="s">
        <v>227</v>
      </c>
      <c r="D76" s="17">
        <v>23174758.050000001</v>
      </c>
      <c r="E76" s="17">
        <v>30251428.73</v>
      </c>
      <c r="F76" s="17">
        <v>29853482.469999999</v>
      </c>
      <c r="G76" s="17">
        <v>29008793.579999998</v>
      </c>
      <c r="H76" s="17">
        <v>25031135.780000001</v>
      </c>
      <c r="I76" s="1">
        <v>28072115.7075</v>
      </c>
      <c r="J76" s="1">
        <v>-10.832742210048467</v>
      </c>
      <c r="K76" s="1">
        <v>-6.7678605279049853</v>
      </c>
      <c r="L76" s="1">
        <v>-4.0648816821434819</v>
      </c>
      <c r="M76" s="51">
        <v>0</v>
      </c>
      <c r="N76" s="1">
        <f t="shared" si="18"/>
        <v>-6.7678605279049853</v>
      </c>
      <c r="O76" s="38">
        <f t="shared" si="19"/>
        <v>26172234.069184292</v>
      </c>
      <c r="P76" s="38">
        <f t="shared" si="20"/>
        <v>25031135.780000001</v>
      </c>
      <c r="Q76" s="102">
        <f t="shared" si="21"/>
        <v>4.5587155901093146</v>
      </c>
      <c r="V76" s="47">
        <f t="shared" si="22"/>
        <v>1141098.2891842909</v>
      </c>
    </row>
    <row r="77" spans="1:24" ht="15.6" x14ac:dyDescent="0.3">
      <c r="A77" s="7"/>
      <c r="B77" s="21"/>
      <c r="C77" s="1"/>
      <c r="D77" s="17"/>
      <c r="E77" s="17"/>
      <c r="F77" s="17"/>
      <c r="G77" s="17"/>
      <c r="H77" s="17"/>
      <c r="I77" s="1"/>
      <c r="J77" s="1"/>
      <c r="K77" s="1"/>
      <c r="L77" s="1"/>
      <c r="M77" s="1"/>
      <c r="N77" s="1"/>
      <c r="O77" s="1"/>
      <c r="P77" s="37" t="s">
        <v>35</v>
      </c>
      <c r="Q77" s="37">
        <f>SUM(Q63:Q76)/14</f>
        <v>6.2237383324214388</v>
      </c>
      <c r="R77" s="36" t="s">
        <v>58</v>
      </c>
      <c r="S77">
        <f>SQRT(SUMXMY2(O63:O76, P63:P76) / COUNT(P63:P76))</f>
        <v>1655274.8865821599</v>
      </c>
      <c r="T77" s="36" t="s">
        <v>59</v>
      </c>
      <c r="U77" s="36">
        <f>RSQ(O63:O76,P63:P76)</f>
        <v>0.35132314874162646</v>
      </c>
      <c r="V77" s="36" t="s">
        <v>60</v>
      </c>
      <c r="W77" s="36">
        <f t="array" ref="W77">AVERAGE(ABS(V63:V76))</f>
        <v>1480878.7601299877</v>
      </c>
      <c r="X77" s="36" cm="1">
        <f t="array" ref="X77">SUMPRODUCT(ABS(O63:O76 - P63:P76)) / COUNT(O63:O76)</f>
        <v>1480878.7601299877</v>
      </c>
    </row>
    <row r="79" spans="1:24" ht="15.6" x14ac:dyDescent="0.3">
      <c r="A79" s="34" t="s">
        <v>212</v>
      </c>
      <c r="B79" s="16"/>
      <c r="C79" s="16"/>
      <c r="D79" s="33"/>
      <c r="E79" s="33"/>
      <c r="F79" s="33"/>
      <c r="G79" s="33"/>
      <c r="H79" s="33"/>
      <c r="I79" s="16"/>
      <c r="J79" s="16"/>
      <c r="K79" s="16"/>
      <c r="L79" s="16"/>
      <c r="M79" s="16"/>
      <c r="N79" s="16"/>
      <c r="O79" s="16"/>
      <c r="P79" s="16"/>
      <c r="Q79" s="16"/>
    </row>
    <row r="80" spans="1:24" ht="15.6" x14ac:dyDescent="0.3">
      <c r="A80" s="2" t="s">
        <v>123</v>
      </c>
      <c r="B80" s="2" t="s">
        <v>124</v>
      </c>
      <c r="C80" s="3" t="s">
        <v>125</v>
      </c>
      <c r="D80" s="107" t="s">
        <v>126</v>
      </c>
      <c r="E80" s="108"/>
      <c r="F80" s="108"/>
      <c r="G80" s="108"/>
      <c r="H80" s="108"/>
      <c r="I80" s="109" t="s">
        <v>25</v>
      </c>
      <c r="J80" s="109" t="s">
        <v>26</v>
      </c>
      <c r="K80" s="109" t="s">
        <v>28</v>
      </c>
      <c r="L80" s="109" t="s">
        <v>27</v>
      </c>
      <c r="M80" s="5" t="s">
        <v>0</v>
      </c>
      <c r="N80" s="4" t="s">
        <v>2</v>
      </c>
      <c r="O80" s="19" t="s">
        <v>3</v>
      </c>
      <c r="P80" s="6" t="s">
        <v>4</v>
      </c>
      <c r="Q80" s="5" t="s">
        <v>5</v>
      </c>
    </row>
    <row r="81" spans="1:24" ht="15.6" x14ac:dyDescent="0.3">
      <c r="A81" s="7"/>
      <c r="B81" s="7"/>
      <c r="C81" s="8"/>
      <c r="D81" s="9" t="s">
        <v>127</v>
      </c>
      <c r="E81" s="9" t="s">
        <v>128</v>
      </c>
      <c r="F81" s="9" t="s">
        <v>129</v>
      </c>
      <c r="G81" s="9" t="s">
        <v>130</v>
      </c>
      <c r="H81" s="9" t="s">
        <v>131</v>
      </c>
      <c r="I81" s="110"/>
      <c r="J81" s="110"/>
      <c r="K81" s="110"/>
      <c r="L81" s="110"/>
      <c r="M81" s="10" t="s">
        <v>1</v>
      </c>
      <c r="N81" s="11" t="s">
        <v>26</v>
      </c>
      <c r="O81" s="20" t="s">
        <v>51</v>
      </c>
      <c r="P81" s="12" t="s">
        <v>52</v>
      </c>
      <c r="Q81" s="10" t="s">
        <v>6</v>
      </c>
    </row>
    <row r="82" spans="1:24" ht="15.6" x14ac:dyDescent="0.3">
      <c r="A82" s="2" t="s">
        <v>132</v>
      </c>
      <c r="B82" s="1" t="s">
        <v>137</v>
      </c>
      <c r="C82" s="1" t="s">
        <v>215</v>
      </c>
      <c r="D82" s="17">
        <v>31962075.063999999</v>
      </c>
      <c r="E82" s="17">
        <v>31389832.191999998</v>
      </c>
      <c r="F82" s="17">
        <v>30887111.496000003</v>
      </c>
      <c r="G82" s="17">
        <v>27674658.719999999</v>
      </c>
      <c r="H82" s="17">
        <v>25001165.223999992</v>
      </c>
      <c r="I82" s="1">
        <v>30478419.368000001</v>
      </c>
      <c r="J82" s="1">
        <v>-17.9709258471281</v>
      </c>
      <c r="K82" s="1">
        <v>-8.0090081078371149</v>
      </c>
      <c r="L82" s="1">
        <v>-9.9619177392909855</v>
      </c>
      <c r="M82" s="50">
        <v>-13.65</v>
      </c>
      <c r="N82" s="1">
        <f>M82+K82</f>
        <v>-21.659008107837117</v>
      </c>
      <c r="O82" s="38">
        <f>I82+((N82*I82)/100)</f>
        <v>23877096.045944281</v>
      </c>
      <c r="P82" s="38">
        <f>H82</f>
        <v>25001165.223999992</v>
      </c>
      <c r="Q82" s="102">
        <f t="shared" ref="Q82:Q95" si="23">ABS((O82-H82)/H82)*100</f>
        <v>4.4960671552086513</v>
      </c>
      <c r="V82" s="47">
        <f>(O82-P82)</f>
        <v>-1124069.1780557111</v>
      </c>
    </row>
    <row r="83" spans="1:24" ht="15.6" x14ac:dyDescent="0.3">
      <c r="A83" s="7"/>
      <c r="B83" s="1" t="s">
        <v>138</v>
      </c>
      <c r="C83" s="1" t="s">
        <v>216</v>
      </c>
      <c r="D83" s="17">
        <v>27235140.030000001</v>
      </c>
      <c r="E83" s="17">
        <v>28261723.059999999</v>
      </c>
      <c r="F83" s="17">
        <v>29261317.649999999</v>
      </c>
      <c r="G83" s="17">
        <v>25243722.100000001</v>
      </c>
      <c r="H83" s="17">
        <v>24512817.800000001</v>
      </c>
      <c r="I83" s="1">
        <v>27500475.710000001</v>
      </c>
      <c r="J83" s="1">
        <v>-10.864022650028552</v>
      </c>
      <c r="K83" s="1">
        <v>-7.2588762167099778</v>
      </c>
      <c r="L83" s="1">
        <v>-3.6051464333185743</v>
      </c>
      <c r="M83" s="51">
        <v>-8.6270000000000007</v>
      </c>
      <c r="N83" s="1">
        <f t="shared" ref="N83:N95" si="24">M83+K83</f>
        <v>-15.885876216709978</v>
      </c>
      <c r="O83" s="38">
        <f t="shared" ref="O83:O95" si="25">I83+((N83*I83)/100)</f>
        <v>23131784.179703005</v>
      </c>
      <c r="P83" s="38">
        <f t="shared" ref="P83:P95" si="26">H83</f>
        <v>24512817.800000001</v>
      </c>
      <c r="Q83" s="102">
        <f t="shared" si="23"/>
        <v>5.633924388313269</v>
      </c>
      <c r="V83" s="47">
        <f t="shared" ref="V83:V95" si="27">(O83-P83)</f>
        <v>-1381033.6202969961</v>
      </c>
    </row>
    <row r="84" spans="1:24" ht="15.6" x14ac:dyDescent="0.3">
      <c r="A84" s="2" t="s">
        <v>133</v>
      </c>
      <c r="B84" s="1" t="s">
        <v>139</v>
      </c>
      <c r="C84" s="1" t="s">
        <v>217</v>
      </c>
      <c r="D84" s="17">
        <v>31957263.199999999</v>
      </c>
      <c r="E84" s="17">
        <v>31021032.050000001</v>
      </c>
      <c r="F84" s="17">
        <v>30016114.25</v>
      </c>
      <c r="G84" s="17">
        <v>25024126.18</v>
      </c>
      <c r="H84" s="17">
        <v>24126175.350000001</v>
      </c>
      <c r="I84" s="1">
        <v>29504633.920000002</v>
      </c>
      <c r="J84" s="1">
        <v>-18.229199469423545</v>
      </c>
      <c r="K84" s="1">
        <v>-9.6552800346627414</v>
      </c>
      <c r="L84" s="1">
        <v>-8.5739194347608034</v>
      </c>
      <c r="M84" s="51">
        <v>0</v>
      </c>
      <c r="N84" s="1">
        <f t="shared" si="24"/>
        <v>-9.6552800346627414</v>
      </c>
      <c r="O84" s="38">
        <f t="shared" si="25"/>
        <v>26655878.89182191</v>
      </c>
      <c r="P84" s="38">
        <f t="shared" si="26"/>
        <v>24126175.350000001</v>
      </c>
      <c r="Q84" s="102">
        <f t="shared" si="23"/>
        <v>10.485306954473032</v>
      </c>
      <c r="V84" s="47">
        <f t="shared" si="27"/>
        <v>2529703.5418219082</v>
      </c>
    </row>
    <row r="85" spans="1:24" ht="15.6" x14ac:dyDescent="0.3">
      <c r="A85" s="13"/>
      <c r="B85" s="1" t="s">
        <v>140</v>
      </c>
      <c r="C85" s="1" t="s">
        <v>218</v>
      </c>
      <c r="D85" s="17">
        <v>30050152.559999999</v>
      </c>
      <c r="E85" s="17">
        <v>26598716.23</v>
      </c>
      <c r="F85" s="17">
        <v>26845795.579999998</v>
      </c>
      <c r="G85" s="17">
        <v>27003129.120000001</v>
      </c>
      <c r="H85" s="17">
        <v>25429718.52</v>
      </c>
      <c r="I85" s="1">
        <v>27624448.372500002</v>
      </c>
      <c r="J85" s="1">
        <v>-7.9448820946768484</v>
      </c>
      <c r="K85" s="1">
        <v>-4.1994223233244732</v>
      </c>
      <c r="L85" s="1">
        <v>-3.7454597713523752</v>
      </c>
      <c r="M85" s="51">
        <v>-11.985799999999999</v>
      </c>
      <c r="N85" s="1">
        <f t="shared" si="24"/>
        <v>-16.185222323324474</v>
      </c>
      <c r="O85" s="38">
        <f t="shared" si="25"/>
        <v>23153369.987818889</v>
      </c>
      <c r="P85" s="38">
        <f t="shared" si="26"/>
        <v>25429718.52</v>
      </c>
      <c r="Q85" s="102">
        <f t="shared" si="23"/>
        <v>8.9515286234521412</v>
      </c>
      <c r="V85" s="47">
        <f t="shared" si="27"/>
        <v>-2276348.5321811102</v>
      </c>
    </row>
    <row r="86" spans="1:24" ht="15.6" x14ac:dyDescent="0.3">
      <c r="A86" s="13"/>
      <c r="B86" s="1" t="s">
        <v>141</v>
      </c>
      <c r="C86" s="1" t="s">
        <v>219</v>
      </c>
      <c r="D86" s="17">
        <v>30101526.079999998</v>
      </c>
      <c r="E86" s="17">
        <v>28313128.739999998</v>
      </c>
      <c r="F86" s="17">
        <v>28015138.359999999</v>
      </c>
      <c r="G86" s="17">
        <v>24826248.280000001</v>
      </c>
      <c r="H86" s="17">
        <v>24516278.84</v>
      </c>
      <c r="I86" s="1">
        <v>27814010.364999998</v>
      </c>
      <c r="J86" s="1">
        <v>-11.856368361571217</v>
      </c>
      <c r="K86" s="1">
        <v>-7.4351603774193862</v>
      </c>
      <c r="L86" s="1">
        <v>-4.421207984151831</v>
      </c>
      <c r="M86" s="51">
        <v>-13.65</v>
      </c>
      <c r="N86" s="1">
        <f t="shared" si="24"/>
        <v>-21.085160377419385</v>
      </c>
      <c r="O86" s="38">
        <f t="shared" si="25"/>
        <v>21949381.672147699</v>
      </c>
      <c r="P86" s="38">
        <f t="shared" si="26"/>
        <v>24516278.84</v>
      </c>
      <c r="Q86" s="102">
        <f t="shared" si="23"/>
        <v>10.470174468990912</v>
      </c>
      <c r="V86" s="47">
        <f t="shared" si="27"/>
        <v>-2566897.1678523012</v>
      </c>
    </row>
    <row r="87" spans="1:24" ht="15.6" x14ac:dyDescent="0.3">
      <c r="A87" s="13"/>
      <c r="B87" s="1" t="s">
        <v>142</v>
      </c>
      <c r="C87" s="1" t="s">
        <v>220</v>
      </c>
      <c r="D87" s="17">
        <v>22303982.776000001</v>
      </c>
      <c r="E87" s="17">
        <v>29489179.431999993</v>
      </c>
      <c r="F87" s="17">
        <v>31781409.335999999</v>
      </c>
      <c r="G87" s="17">
        <v>29018456.952000003</v>
      </c>
      <c r="H87" s="17">
        <v>23904977.280000001</v>
      </c>
      <c r="I87" s="1">
        <v>28148257.123999998</v>
      </c>
      <c r="J87" s="1">
        <v>-15.074751610045714</v>
      </c>
      <c r="K87" s="1">
        <v>-3.0757634413158739</v>
      </c>
      <c r="L87" s="1">
        <v>-11.998988168729841</v>
      </c>
      <c r="M87" s="51">
        <v>-10.5</v>
      </c>
      <c r="N87" s="1">
        <f t="shared" si="24"/>
        <v>-13.575763441315875</v>
      </c>
      <c r="O87" s="38">
        <f t="shared" si="25"/>
        <v>24326916.323992416</v>
      </c>
      <c r="P87" s="38">
        <f t="shared" si="26"/>
        <v>23904977.280000001</v>
      </c>
      <c r="Q87" s="102">
        <f t="shared" si="23"/>
        <v>1.7650677473993193</v>
      </c>
      <c r="V87" s="47">
        <f t="shared" si="27"/>
        <v>421939.04399241507</v>
      </c>
    </row>
    <row r="88" spans="1:24" ht="15.6" x14ac:dyDescent="0.3">
      <c r="A88" s="13"/>
      <c r="B88" s="1" t="s">
        <v>143</v>
      </c>
      <c r="C88" s="1" t="s">
        <v>221</v>
      </c>
      <c r="D88" s="17">
        <v>28929860.432</v>
      </c>
      <c r="E88" s="17">
        <v>23254492.015999991</v>
      </c>
      <c r="F88" s="17">
        <v>25535227.792000003</v>
      </c>
      <c r="G88" s="17">
        <v>22107167.400000002</v>
      </c>
      <c r="H88" s="17">
        <v>20221836.344000001</v>
      </c>
      <c r="I88" s="1">
        <v>24956686.91</v>
      </c>
      <c r="J88" s="1">
        <v>-18.972272173285841</v>
      </c>
      <c r="K88" s="1">
        <v>-8.4619821154868404</v>
      </c>
      <c r="L88" s="1">
        <v>-10.510290057799001</v>
      </c>
      <c r="M88" s="51">
        <v>0</v>
      </c>
      <c r="N88" s="1">
        <f t="shared" si="24"/>
        <v>-8.4619821154868404</v>
      </c>
      <c r="O88" s="38">
        <f t="shared" si="25"/>
        <v>22844856.527057756</v>
      </c>
      <c r="P88" s="38">
        <f t="shared" si="26"/>
        <v>20221836.344000001</v>
      </c>
      <c r="Q88" s="102">
        <f t="shared" si="23"/>
        <v>12.97122644272625</v>
      </c>
      <c r="V88" s="47">
        <f t="shared" si="27"/>
        <v>2623020.1830577552</v>
      </c>
    </row>
    <row r="89" spans="1:24" ht="15.6" x14ac:dyDescent="0.3">
      <c r="A89" s="13"/>
      <c r="B89" s="1" t="s">
        <v>144</v>
      </c>
      <c r="C89" s="1" t="s">
        <v>222</v>
      </c>
      <c r="D89" s="17">
        <v>23254492.015999991</v>
      </c>
      <c r="E89" s="17">
        <v>25535227.792000003</v>
      </c>
      <c r="F89" s="17">
        <v>22107167.400000002</v>
      </c>
      <c r="G89" s="17">
        <v>20221836.344000001</v>
      </c>
      <c r="H89" s="17">
        <v>20717922.855999995</v>
      </c>
      <c r="I89" s="1">
        <v>22779680.888</v>
      </c>
      <c r="J89" s="1">
        <v>-9.0508644178861566</v>
      </c>
      <c r="K89" s="1">
        <v>-2.6012736104602441</v>
      </c>
      <c r="L89" s="1">
        <v>-6.4495908074259125</v>
      </c>
      <c r="M89" s="52">
        <v>-12</v>
      </c>
      <c r="N89" s="1">
        <f t="shared" si="24"/>
        <v>-14.601273610460243</v>
      </c>
      <c r="O89" s="38">
        <f t="shared" si="25"/>
        <v>19453557.353953399</v>
      </c>
      <c r="P89" s="38">
        <f t="shared" si="26"/>
        <v>20717922.855999995</v>
      </c>
      <c r="Q89" s="102">
        <f t="shared" si="23"/>
        <v>6.1027618976794811</v>
      </c>
      <c r="V89" s="47">
        <f t="shared" si="27"/>
        <v>-1264365.5020465963</v>
      </c>
    </row>
    <row r="90" spans="1:24" ht="15.6" x14ac:dyDescent="0.3">
      <c r="A90" s="2" t="s">
        <v>134</v>
      </c>
      <c r="B90" s="1" t="s">
        <v>145</v>
      </c>
      <c r="C90" s="1" t="s">
        <v>223</v>
      </c>
      <c r="D90" s="17">
        <v>33264636.728000011</v>
      </c>
      <c r="E90" s="17">
        <v>31685393.768160004</v>
      </c>
      <c r="F90" s="17">
        <v>32736842.800000008</v>
      </c>
      <c r="G90" s="17">
        <v>31201639.880000003</v>
      </c>
      <c r="H90" s="17">
        <v>25986091.631999992</v>
      </c>
      <c r="I90" s="1">
        <v>32222128.294040009</v>
      </c>
      <c r="J90" s="1">
        <v>-19.353273642056323</v>
      </c>
      <c r="K90" s="1">
        <v>-10.471502333919931</v>
      </c>
      <c r="L90" s="1">
        <v>-8.8817713081363916</v>
      </c>
      <c r="M90" s="52">
        <v>-14.2835</v>
      </c>
      <c r="N90" s="1">
        <f t="shared" si="24"/>
        <v>-24.755002333919933</v>
      </c>
      <c r="O90" s="38">
        <f t="shared" si="25"/>
        <v>24245539.68281173</v>
      </c>
      <c r="P90" s="38">
        <f t="shared" si="26"/>
        <v>25986091.631999992</v>
      </c>
      <c r="Q90" s="102">
        <f t="shared" si="23"/>
        <v>6.6980135906428444</v>
      </c>
      <c r="V90" s="47">
        <f t="shared" si="27"/>
        <v>-1740551.9491882622</v>
      </c>
    </row>
    <row r="91" spans="1:24" ht="15.6" x14ac:dyDescent="0.3">
      <c r="A91" s="13"/>
      <c r="B91" s="1" t="s">
        <v>146</v>
      </c>
      <c r="C91" s="1" t="s">
        <v>224</v>
      </c>
      <c r="D91" s="17">
        <v>28258348.390000001</v>
      </c>
      <c r="E91" s="17">
        <v>30515258.920000002</v>
      </c>
      <c r="F91" s="17">
        <v>30187192.210000001</v>
      </c>
      <c r="G91" s="17">
        <v>28987478.309999999</v>
      </c>
      <c r="H91" s="17">
        <v>26009814.719999999</v>
      </c>
      <c r="I91" s="1">
        <v>29487069.457500003</v>
      </c>
      <c r="J91" s="1">
        <v>-11.792473112703876</v>
      </c>
      <c r="K91" s="1">
        <v>-8.2612614383211351</v>
      </c>
      <c r="L91" s="1">
        <v>-3.5312116743827406</v>
      </c>
      <c r="M91" s="51">
        <v>-7.2103000000000002</v>
      </c>
      <c r="N91" s="1">
        <f t="shared" si="24"/>
        <v>-15.471561438321135</v>
      </c>
      <c r="O91" s="38">
        <f t="shared" si="25"/>
        <v>24924959.390022464</v>
      </c>
      <c r="P91" s="38">
        <f t="shared" si="26"/>
        <v>26009814.719999999</v>
      </c>
      <c r="Q91" s="102">
        <f t="shared" si="23"/>
        <v>4.1709460127116769</v>
      </c>
      <c r="V91" s="47">
        <f t="shared" si="27"/>
        <v>-1084855.3299775347</v>
      </c>
    </row>
    <row r="92" spans="1:24" ht="15.6" x14ac:dyDescent="0.3">
      <c r="A92" s="13"/>
      <c r="B92" s="1" t="s">
        <v>147</v>
      </c>
      <c r="C92" s="1" t="s">
        <v>175</v>
      </c>
      <c r="D92" s="17">
        <v>32988765.829999998</v>
      </c>
      <c r="E92" s="17">
        <v>31713502.140000001</v>
      </c>
      <c r="F92" s="17">
        <v>30089571.289999999</v>
      </c>
      <c r="G92" s="17">
        <v>23894816.870000001</v>
      </c>
      <c r="H92" s="17">
        <v>24792648.940000001</v>
      </c>
      <c r="I92" s="1">
        <v>29671664.032499999</v>
      </c>
      <c r="J92" s="1">
        <v>-16.44334839851216</v>
      </c>
      <c r="K92" s="1">
        <v>-12.100568081853563</v>
      </c>
      <c r="L92" s="1">
        <v>-4.3427803166585974</v>
      </c>
      <c r="M92" s="52">
        <v>0</v>
      </c>
      <c r="N92" s="1">
        <f t="shared" si="24"/>
        <v>-12.100568081853563</v>
      </c>
      <c r="O92" s="38">
        <f t="shared" si="25"/>
        <v>26081224.12522848</v>
      </c>
      <c r="P92" s="38">
        <f t="shared" si="26"/>
        <v>24792648.940000001</v>
      </c>
      <c r="Q92" s="102">
        <f t="shared" si="23"/>
        <v>5.197408265437562</v>
      </c>
      <c r="V92" s="47">
        <f t="shared" si="27"/>
        <v>1288575.1852284782</v>
      </c>
    </row>
    <row r="93" spans="1:24" ht="15.6" x14ac:dyDescent="0.3">
      <c r="A93" s="2" t="s">
        <v>135</v>
      </c>
      <c r="B93" s="21" t="s">
        <v>148</v>
      </c>
      <c r="C93" s="1" t="s">
        <v>225</v>
      </c>
      <c r="D93" s="17">
        <v>32770227.68</v>
      </c>
      <c r="E93" s="17">
        <v>30045391.120000005</v>
      </c>
      <c r="F93" s="17">
        <v>28826716.32</v>
      </c>
      <c r="G93" s="17">
        <v>22574331.095999993</v>
      </c>
      <c r="H93" s="17">
        <v>23546634.488000005</v>
      </c>
      <c r="I93" s="1">
        <v>28554166.553999998</v>
      </c>
      <c r="J93" s="1">
        <v>-17.536957545337685</v>
      </c>
      <c r="K93" s="1">
        <v>-4.1531216977287055</v>
      </c>
      <c r="L93" s="1">
        <v>-13.38383584760898</v>
      </c>
      <c r="M93" s="52">
        <v>-14.213200000000001</v>
      </c>
      <c r="N93" s="1">
        <f t="shared" si="24"/>
        <v>-18.366321697728708</v>
      </c>
      <c r="O93" s="38">
        <f t="shared" si="25"/>
        <v>23309816.466587104</v>
      </c>
      <c r="P93" s="38">
        <f t="shared" si="26"/>
        <v>23546634.488000005</v>
      </c>
      <c r="Q93" s="102">
        <f t="shared" si="23"/>
        <v>1.0057404234715173</v>
      </c>
      <c r="V93" s="47">
        <f t="shared" si="27"/>
        <v>-236818.02141290158</v>
      </c>
    </row>
    <row r="94" spans="1:24" ht="15.6" x14ac:dyDescent="0.3">
      <c r="A94" s="13" t="s">
        <v>136</v>
      </c>
      <c r="B94" s="21" t="s">
        <v>149</v>
      </c>
      <c r="C94" s="1" t="s">
        <v>226</v>
      </c>
      <c r="D94" s="17">
        <v>31781409.335999999</v>
      </c>
      <c r="E94" s="17">
        <v>29018456.952000003</v>
      </c>
      <c r="F94" s="17">
        <v>23904977.280000001</v>
      </c>
      <c r="G94" s="17">
        <v>24557871.024000008</v>
      </c>
      <c r="H94" s="17">
        <v>22710128.848000001</v>
      </c>
      <c r="I94" s="1">
        <v>27315678.648000002</v>
      </c>
      <c r="J94" s="1">
        <v>-16.860462664496932</v>
      </c>
      <c r="K94" s="1">
        <v>-14.729437062818983</v>
      </c>
      <c r="L94" s="1">
        <v>-2.1310256016779494</v>
      </c>
      <c r="M94" s="52">
        <v>-6</v>
      </c>
      <c r="N94" s="1">
        <f t="shared" si="24"/>
        <v>-20.729437062818981</v>
      </c>
      <c r="O94" s="38">
        <f t="shared" si="25"/>
        <v>21653292.23438096</v>
      </c>
      <c r="P94" s="38">
        <f t="shared" si="26"/>
        <v>22710128.848000001</v>
      </c>
      <c r="Q94" s="102">
        <f t="shared" si="23"/>
        <v>4.6535914467614852</v>
      </c>
      <c r="V94" s="47">
        <f t="shared" si="27"/>
        <v>-1056836.6136190407</v>
      </c>
    </row>
    <row r="95" spans="1:24" ht="15.6" x14ac:dyDescent="0.3">
      <c r="A95" s="13"/>
      <c r="B95" s="22" t="s">
        <v>29</v>
      </c>
      <c r="C95" s="1" t="s">
        <v>227</v>
      </c>
      <c r="D95" s="17">
        <v>23174758.050000001</v>
      </c>
      <c r="E95" s="17">
        <v>30251428.73</v>
      </c>
      <c r="F95" s="17">
        <v>29853482.469999999</v>
      </c>
      <c r="G95" s="17">
        <v>29008793.579999998</v>
      </c>
      <c r="H95" s="17">
        <v>25031135.780000001</v>
      </c>
      <c r="I95" s="1">
        <v>28072115.7075</v>
      </c>
      <c r="J95" s="1">
        <v>-10.832742210048467</v>
      </c>
      <c r="K95" s="1">
        <v>-6.7678605279049853</v>
      </c>
      <c r="L95" s="1">
        <v>-4.0648816821434819</v>
      </c>
      <c r="M95" s="51">
        <v>0</v>
      </c>
      <c r="N95" s="1">
        <f t="shared" si="24"/>
        <v>-6.7678605279049853</v>
      </c>
      <c r="O95" s="38">
        <f t="shared" si="25"/>
        <v>26172234.069184292</v>
      </c>
      <c r="P95" s="38">
        <f t="shared" si="26"/>
        <v>25031135.780000001</v>
      </c>
      <c r="Q95" s="102">
        <f t="shared" si="23"/>
        <v>4.5587155901093146</v>
      </c>
      <c r="V95" s="47">
        <f t="shared" si="27"/>
        <v>1141098.2891842909</v>
      </c>
    </row>
    <row r="96" spans="1:24" ht="15.6" x14ac:dyDescent="0.3">
      <c r="A96" s="7"/>
      <c r="B96" s="21"/>
      <c r="C96" s="1"/>
      <c r="D96" s="17"/>
      <c r="E96" s="17"/>
      <c r="F96" s="17"/>
      <c r="G96" s="17"/>
      <c r="H96" s="17"/>
      <c r="I96" s="1"/>
      <c r="J96" s="1"/>
      <c r="K96" s="1"/>
      <c r="L96" s="1"/>
      <c r="M96" s="1"/>
      <c r="N96" s="1"/>
      <c r="O96" s="1"/>
      <c r="P96" s="37" t="s">
        <v>35</v>
      </c>
      <c r="Q96" s="37">
        <f>SUM(Q82:Q95)/14</f>
        <v>6.2257480719555334</v>
      </c>
      <c r="R96" s="36" t="s">
        <v>58</v>
      </c>
      <c r="S96">
        <f>SQRT(SUMXMY2(O82:O95, P82:P95) / COUNT(P82:P95))</f>
        <v>1654857.4938453047</v>
      </c>
      <c r="T96" s="36" t="s">
        <v>59</v>
      </c>
      <c r="U96" s="36">
        <f>RSQ(O82:O95,P82:P95)</f>
        <v>0.35241494610194163</v>
      </c>
      <c r="V96" s="36" t="s">
        <v>60</v>
      </c>
      <c r="W96" s="36">
        <f t="array" ref="W96">AVERAGE(ABS(V82:V95))</f>
        <v>1481150.8684225215</v>
      </c>
      <c r="X96" s="36" cm="1">
        <f t="array" ref="X96">SUMPRODUCT(ABS(O82:O95 - P82:P95)) / COUNT(O82:O95)</f>
        <v>1481150.8684225215</v>
      </c>
    </row>
    <row r="98" spans="1:22" ht="15.6" x14ac:dyDescent="0.3">
      <c r="A98" s="16"/>
      <c r="B98" s="16"/>
      <c r="C98" s="16"/>
      <c r="D98" s="33"/>
      <c r="E98" s="33"/>
      <c r="F98" s="33"/>
      <c r="G98" s="33"/>
      <c r="H98" s="33"/>
      <c r="I98" s="16"/>
      <c r="J98" s="16"/>
      <c r="K98" s="16"/>
      <c r="L98" s="16"/>
      <c r="M98" s="16"/>
      <c r="N98" s="16"/>
      <c r="O98" s="16"/>
      <c r="P98" s="16"/>
      <c r="Q98" s="16"/>
    </row>
    <row r="99" spans="1:22" ht="15.6" x14ac:dyDescent="0.3">
      <c r="A99" s="34" t="s">
        <v>228</v>
      </c>
      <c r="B99" s="16"/>
      <c r="C99" s="16"/>
      <c r="D99" s="33"/>
      <c r="E99" s="33"/>
      <c r="F99" s="33"/>
      <c r="G99" s="33"/>
      <c r="H99" s="33"/>
      <c r="I99" s="16"/>
      <c r="J99" s="16"/>
      <c r="K99" s="16"/>
      <c r="L99" s="16"/>
      <c r="M99" s="16"/>
      <c r="N99" s="16"/>
      <c r="O99" s="16"/>
      <c r="P99" s="16"/>
      <c r="Q99" s="16"/>
    </row>
    <row r="100" spans="1:22" ht="15.6" x14ac:dyDescent="0.3">
      <c r="A100" s="2" t="s">
        <v>123</v>
      </c>
      <c r="B100" s="2" t="s">
        <v>124</v>
      </c>
      <c r="C100" s="3" t="s">
        <v>125</v>
      </c>
      <c r="D100" s="107" t="s">
        <v>126</v>
      </c>
      <c r="E100" s="108"/>
      <c r="F100" s="108"/>
      <c r="G100" s="108"/>
      <c r="H100" s="108"/>
      <c r="I100" s="109" t="s">
        <v>25</v>
      </c>
      <c r="J100" s="109" t="s">
        <v>26</v>
      </c>
      <c r="K100" s="109" t="s">
        <v>28</v>
      </c>
      <c r="L100" s="109" t="s">
        <v>27</v>
      </c>
      <c r="M100" s="5" t="s">
        <v>0</v>
      </c>
      <c r="N100" s="4" t="s">
        <v>2</v>
      </c>
      <c r="O100" s="19" t="s">
        <v>3</v>
      </c>
      <c r="P100" s="6" t="s">
        <v>4</v>
      </c>
      <c r="Q100" s="5" t="s">
        <v>5</v>
      </c>
    </row>
    <row r="101" spans="1:22" ht="15.6" x14ac:dyDescent="0.3">
      <c r="A101" s="7"/>
      <c r="B101" s="7"/>
      <c r="C101" s="8"/>
      <c r="D101" s="9" t="s">
        <v>127</v>
      </c>
      <c r="E101" s="9" t="s">
        <v>128</v>
      </c>
      <c r="F101" s="9" t="s">
        <v>129</v>
      </c>
      <c r="G101" s="9" t="s">
        <v>130</v>
      </c>
      <c r="H101" s="9" t="s">
        <v>131</v>
      </c>
      <c r="I101" s="110"/>
      <c r="J101" s="110"/>
      <c r="K101" s="110"/>
      <c r="L101" s="110"/>
      <c r="M101" s="10" t="s">
        <v>1</v>
      </c>
      <c r="N101" s="11" t="s">
        <v>26</v>
      </c>
      <c r="O101" s="20" t="s">
        <v>51</v>
      </c>
      <c r="P101" s="12" t="s">
        <v>52</v>
      </c>
      <c r="Q101" s="10" t="s">
        <v>6</v>
      </c>
    </row>
    <row r="102" spans="1:22" ht="15.6" x14ac:dyDescent="0.3">
      <c r="A102" s="2" t="s">
        <v>132</v>
      </c>
      <c r="B102" s="1" t="s">
        <v>137</v>
      </c>
      <c r="C102" s="1" t="s">
        <v>215</v>
      </c>
      <c r="D102" s="17">
        <v>31962075.063999999</v>
      </c>
      <c r="E102" s="17">
        <v>31389832.191999998</v>
      </c>
      <c r="F102" s="17">
        <v>30887111.496000003</v>
      </c>
      <c r="G102" s="17">
        <v>27674658.719999999</v>
      </c>
      <c r="H102" s="17">
        <v>25001165.223999992</v>
      </c>
      <c r="I102" s="1">
        <v>30478419.368000001</v>
      </c>
      <c r="J102" s="1">
        <v>-17.9709258471281</v>
      </c>
      <c r="K102" s="1">
        <v>-8.0090081078371149</v>
      </c>
      <c r="L102" s="1">
        <v>-9.9619177392909855</v>
      </c>
      <c r="M102" s="50">
        <v>-13.65</v>
      </c>
      <c r="N102" s="1">
        <f>M102+K102</f>
        <v>-21.659008107837117</v>
      </c>
      <c r="O102" s="38">
        <f>I102+((N102*I102)/100)</f>
        <v>23877096.045944281</v>
      </c>
      <c r="P102" s="38">
        <f>H102</f>
        <v>25001165.223999992</v>
      </c>
      <c r="Q102" s="102">
        <f t="shared" ref="Q102:Q115" si="28">ABS((O102-H102)/H102)*100</f>
        <v>4.4960671552086513</v>
      </c>
      <c r="V102" s="47">
        <f>(O102-P102)</f>
        <v>-1124069.1780557111</v>
      </c>
    </row>
    <row r="103" spans="1:22" ht="15.6" x14ac:dyDescent="0.3">
      <c r="A103" s="7"/>
      <c r="B103" s="1" t="s">
        <v>138</v>
      </c>
      <c r="C103" s="1" t="s">
        <v>216</v>
      </c>
      <c r="D103" s="17">
        <v>27235140.030000001</v>
      </c>
      <c r="E103" s="17">
        <v>28261723.059999999</v>
      </c>
      <c r="F103" s="17">
        <v>29261317.649999999</v>
      </c>
      <c r="G103" s="17">
        <v>25243722.100000001</v>
      </c>
      <c r="H103" s="17">
        <v>24512817.800000001</v>
      </c>
      <c r="I103" s="1">
        <v>27500475.710000001</v>
      </c>
      <c r="J103" s="1">
        <v>-10.864022650028552</v>
      </c>
      <c r="K103" s="1">
        <v>-7.2588762167099778</v>
      </c>
      <c r="L103" s="1">
        <v>-3.6051464333185743</v>
      </c>
      <c r="M103" s="51">
        <v>-8.6270000000000007</v>
      </c>
      <c r="N103" s="1">
        <f t="shared" ref="N103:N115" si="29">M103+K103</f>
        <v>-15.885876216709978</v>
      </c>
      <c r="O103" s="38">
        <f t="shared" ref="O103:O115" si="30">I103+((N103*I103)/100)</f>
        <v>23131784.179703005</v>
      </c>
      <c r="P103" s="38">
        <f t="shared" ref="P103:P115" si="31">H103</f>
        <v>24512817.800000001</v>
      </c>
      <c r="Q103" s="102">
        <f t="shared" si="28"/>
        <v>5.633924388313269</v>
      </c>
      <c r="V103" s="47">
        <f t="shared" ref="V103:V115" si="32">(O103-P103)</f>
        <v>-1381033.6202969961</v>
      </c>
    </row>
    <row r="104" spans="1:22" ht="15.6" x14ac:dyDescent="0.3">
      <c r="A104" s="2" t="s">
        <v>133</v>
      </c>
      <c r="B104" s="1" t="s">
        <v>139</v>
      </c>
      <c r="C104" s="1" t="s">
        <v>217</v>
      </c>
      <c r="D104" s="17">
        <v>31957263.199999999</v>
      </c>
      <c r="E104" s="17">
        <v>31021032.050000001</v>
      </c>
      <c r="F104" s="17">
        <v>30016114.25</v>
      </c>
      <c r="G104" s="17">
        <v>25024126.18</v>
      </c>
      <c r="H104" s="17">
        <v>24126175.350000001</v>
      </c>
      <c r="I104" s="1">
        <v>29504633.920000002</v>
      </c>
      <c r="J104" s="1">
        <v>-18.229199469423545</v>
      </c>
      <c r="K104" s="1">
        <v>-9.6552800346627414</v>
      </c>
      <c r="L104" s="1">
        <v>-8.5739194347608034</v>
      </c>
      <c r="M104" s="51">
        <v>0</v>
      </c>
      <c r="N104" s="1">
        <f t="shared" si="29"/>
        <v>-9.6552800346627414</v>
      </c>
      <c r="O104" s="38">
        <f t="shared" si="30"/>
        <v>26655878.89182191</v>
      </c>
      <c r="P104" s="38">
        <f t="shared" si="31"/>
        <v>24126175.350000001</v>
      </c>
      <c r="Q104" s="102">
        <f t="shared" si="28"/>
        <v>10.485306954473032</v>
      </c>
      <c r="V104" s="47">
        <f t="shared" si="32"/>
        <v>2529703.5418219082</v>
      </c>
    </row>
    <row r="105" spans="1:22" ht="15.6" x14ac:dyDescent="0.3">
      <c r="A105" s="13"/>
      <c r="B105" s="1" t="s">
        <v>140</v>
      </c>
      <c r="C105" s="1" t="s">
        <v>218</v>
      </c>
      <c r="D105" s="17">
        <v>30050152.559999999</v>
      </c>
      <c r="E105" s="17">
        <v>26598716.23</v>
      </c>
      <c r="F105" s="17">
        <v>26845795.579999998</v>
      </c>
      <c r="G105" s="17">
        <v>27003129.120000001</v>
      </c>
      <c r="H105" s="17">
        <v>25429718.52</v>
      </c>
      <c r="I105" s="1">
        <v>27624448.372500002</v>
      </c>
      <c r="J105" s="1">
        <v>-7.9448820946768484</v>
      </c>
      <c r="K105" s="1">
        <v>-4.1994223233244732</v>
      </c>
      <c r="L105" s="1">
        <v>-3.7454597713523752</v>
      </c>
      <c r="M105" s="51">
        <v>-11.9869</v>
      </c>
      <c r="N105" s="1">
        <f t="shared" si="29"/>
        <v>-16.186322323324475</v>
      </c>
      <c r="O105" s="38">
        <f t="shared" si="30"/>
        <v>23153066.118886791</v>
      </c>
      <c r="P105" s="38">
        <f t="shared" si="31"/>
        <v>25429718.52</v>
      </c>
      <c r="Q105" s="102">
        <f t="shared" si="28"/>
        <v>8.9527235597305719</v>
      </c>
      <c r="V105" s="47">
        <f t="shared" si="32"/>
        <v>-2276652.4011132084</v>
      </c>
    </row>
    <row r="106" spans="1:22" ht="15.6" x14ac:dyDescent="0.3">
      <c r="A106" s="13"/>
      <c r="B106" s="1" t="s">
        <v>141</v>
      </c>
      <c r="C106" s="1" t="s">
        <v>219</v>
      </c>
      <c r="D106" s="17">
        <v>30101526.079999998</v>
      </c>
      <c r="E106" s="17">
        <v>28313128.739999998</v>
      </c>
      <c r="F106" s="17">
        <v>28015138.359999999</v>
      </c>
      <c r="G106" s="17">
        <v>24826248.280000001</v>
      </c>
      <c r="H106" s="17">
        <v>24516278.84</v>
      </c>
      <c r="I106" s="1">
        <v>27814010.364999998</v>
      </c>
      <c r="J106" s="1">
        <v>-11.856368361571217</v>
      </c>
      <c r="K106" s="1">
        <v>-7.4351603774193862</v>
      </c>
      <c r="L106" s="1">
        <v>-4.421207984151831</v>
      </c>
      <c r="M106" s="51">
        <v>-13.65</v>
      </c>
      <c r="N106" s="1">
        <f t="shared" si="29"/>
        <v>-21.085160377419385</v>
      </c>
      <c r="O106" s="38">
        <f t="shared" si="30"/>
        <v>21949381.672147699</v>
      </c>
      <c r="P106" s="38">
        <f t="shared" si="31"/>
        <v>24516278.84</v>
      </c>
      <c r="Q106" s="102">
        <f t="shared" si="28"/>
        <v>10.470174468990912</v>
      </c>
      <c r="V106" s="47">
        <f t="shared" si="32"/>
        <v>-2566897.1678523012</v>
      </c>
    </row>
    <row r="107" spans="1:22" ht="15.6" x14ac:dyDescent="0.3">
      <c r="A107" s="13"/>
      <c r="B107" s="1" t="s">
        <v>142</v>
      </c>
      <c r="C107" s="1" t="s">
        <v>220</v>
      </c>
      <c r="D107" s="17">
        <v>22303982.776000001</v>
      </c>
      <c r="E107" s="17">
        <v>29489179.431999993</v>
      </c>
      <c r="F107" s="17">
        <v>31781409.335999999</v>
      </c>
      <c r="G107" s="17">
        <v>29018456.952000003</v>
      </c>
      <c r="H107" s="17">
        <v>23904977.280000001</v>
      </c>
      <c r="I107" s="1">
        <v>28148257.123999998</v>
      </c>
      <c r="J107" s="1">
        <v>-15.074751610045714</v>
      </c>
      <c r="K107" s="1">
        <v>-3.0757634413158739</v>
      </c>
      <c r="L107" s="1">
        <v>-11.998988168729841</v>
      </c>
      <c r="M107" s="52">
        <v>-10.798</v>
      </c>
      <c r="N107" s="1">
        <f t="shared" si="29"/>
        <v>-13.873763441315873</v>
      </c>
      <c r="O107" s="38">
        <f t="shared" si="30"/>
        <v>24243034.517762896</v>
      </c>
      <c r="P107" s="38">
        <f t="shared" si="31"/>
        <v>23904977.280000001</v>
      </c>
      <c r="Q107" s="102">
        <f t="shared" si="28"/>
        <v>1.4141709226627404</v>
      </c>
      <c r="V107" s="47">
        <f t="shared" si="32"/>
        <v>338057.23776289448</v>
      </c>
    </row>
    <row r="108" spans="1:22" ht="15.6" x14ac:dyDescent="0.3">
      <c r="A108" s="13"/>
      <c r="B108" s="1" t="s">
        <v>143</v>
      </c>
      <c r="C108" s="1" t="s">
        <v>221</v>
      </c>
      <c r="D108" s="17">
        <v>28929860.432</v>
      </c>
      <c r="E108" s="17">
        <v>23254492.015999991</v>
      </c>
      <c r="F108" s="17">
        <v>25535227.792000003</v>
      </c>
      <c r="G108" s="17">
        <v>22107167.400000002</v>
      </c>
      <c r="H108" s="17">
        <v>20221836.344000001</v>
      </c>
      <c r="I108" s="1">
        <v>24956686.91</v>
      </c>
      <c r="J108" s="1">
        <v>-18.972272173285841</v>
      </c>
      <c r="K108" s="1">
        <v>-8.4619821154868404</v>
      </c>
      <c r="L108" s="1">
        <v>-10.510290057799001</v>
      </c>
      <c r="M108" s="51">
        <v>0</v>
      </c>
      <c r="N108" s="1">
        <f t="shared" si="29"/>
        <v>-8.4619821154868404</v>
      </c>
      <c r="O108" s="38">
        <f t="shared" si="30"/>
        <v>22844856.527057756</v>
      </c>
      <c r="P108" s="38">
        <f t="shared" si="31"/>
        <v>20221836.344000001</v>
      </c>
      <c r="Q108" s="102">
        <f t="shared" si="28"/>
        <v>12.97122644272625</v>
      </c>
      <c r="V108" s="47">
        <f t="shared" si="32"/>
        <v>2623020.1830577552</v>
      </c>
    </row>
    <row r="109" spans="1:22" ht="15.6" x14ac:dyDescent="0.3">
      <c r="A109" s="13"/>
      <c r="B109" s="1" t="s">
        <v>144</v>
      </c>
      <c r="C109" s="1" t="s">
        <v>222</v>
      </c>
      <c r="D109" s="17">
        <v>23254492.015999991</v>
      </c>
      <c r="E109" s="17">
        <v>25535227.792000003</v>
      </c>
      <c r="F109" s="17">
        <v>22107167.400000002</v>
      </c>
      <c r="G109" s="17">
        <v>20221836.344000001</v>
      </c>
      <c r="H109" s="17">
        <v>20717922.855999995</v>
      </c>
      <c r="I109" s="1">
        <v>22779680.888</v>
      </c>
      <c r="J109" s="1">
        <v>-9.0508644178861566</v>
      </c>
      <c r="K109" s="1">
        <v>-2.6012736104602441</v>
      </c>
      <c r="L109" s="1">
        <v>-6.4495908074259125</v>
      </c>
      <c r="M109" s="52">
        <v>-12</v>
      </c>
      <c r="N109" s="1">
        <f t="shared" si="29"/>
        <v>-14.601273610460243</v>
      </c>
      <c r="O109" s="38">
        <f t="shared" si="30"/>
        <v>19453557.353953399</v>
      </c>
      <c r="P109" s="38">
        <f t="shared" si="31"/>
        <v>20717922.855999995</v>
      </c>
      <c r="Q109" s="102">
        <f t="shared" si="28"/>
        <v>6.1027618976794811</v>
      </c>
      <c r="V109" s="47">
        <f t="shared" si="32"/>
        <v>-1264365.5020465963</v>
      </c>
    </row>
    <row r="110" spans="1:22" ht="15.6" x14ac:dyDescent="0.3">
      <c r="A110" s="2" t="s">
        <v>134</v>
      </c>
      <c r="B110" s="1" t="s">
        <v>145</v>
      </c>
      <c r="C110" s="1" t="s">
        <v>223</v>
      </c>
      <c r="D110" s="17">
        <v>33264636.728000011</v>
      </c>
      <c r="E110" s="17">
        <v>31685393.768160004</v>
      </c>
      <c r="F110" s="17">
        <v>32736842.800000008</v>
      </c>
      <c r="G110" s="17">
        <v>31201639.880000003</v>
      </c>
      <c r="H110" s="17">
        <v>25986091.631999992</v>
      </c>
      <c r="I110" s="1">
        <v>32222128.294040009</v>
      </c>
      <c r="J110" s="1">
        <v>-19.353273642056323</v>
      </c>
      <c r="K110" s="1">
        <v>-10.471502333919931</v>
      </c>
      <c r="L110" s="1">
        <v>-8.8817713081363916</v>
      </c>
      <c r="M110" s="52">
        <v>-14.2682</v>
      </c>
      <c r="N110" s="1">
        <f t="shared" si="29"/>
        <v>-24.739702333919929</v>
      </c>
      <c r="O110" s="38">
        <f t="shared" si="30"/>
        <v>24250469.668440718</v>
      </c>
      <c r="P110" s="38">
        <f t="shared" si="31"/>
        <v>25986091.631999992</v>
      </c>
      <c r="Q110" s="102">
        <f t="shared" si="28"/>
        <v>6.6790419588222365</v>
      </c>
      <c r="V110" s="47">
        <f t="shared" si="32"/>
        <v>-1735621.9635592736</v>
      </c>
    </row>
    <row r="111" spans="1:22" ht="15.6" x14ac:dyDescent="0.3">
      <c r="A111" s="13"/>
      <c r="B111" s="1" t="s">
        <v>146</v>
      </c>
      <c r="C111" s="1" t="s">
        <v>224</v>
      </c>
      <c r="D111" s="17">
        <v>28258348.390000001</v>
      </c>
      <c r="E111" s="17">
        <v>30515258.920000002</v>
      </c>
      <c r="F111" s="17">
        <v>30187192.210000001</v>
      </c>
      <c r="G111" s="17">
        <v>28987478.309999999</v>
      </c>
      <c r="H111" s="17">
        <v>26009814.719999999</v>
      </c>
      <c r="I111" s="1">
        <v>29487069.457500003</v>
      </c>
      <c r="J111" s="1">
        <v>-11.792473112703876</v>
      </c>
      <c r="K111" s="1">
        <v>-8.2612614383211351</v>
      </c>
      <c r="L111" s="1">
        <v>-3.5312116743827406</v>
      </c>
      <c r="M111" s="51">
        <v>-7.2054999999999998</v>
      </c>
      <c r="N111" s="1">
        <f t="shared" si="29"/>
        <v>-15.466761438321136</v>
      </c>
      <c r="O111" s="38">
        <f t="shared" si="30"/>
        <v>24926374.769356422</v>
      </c>
      <c r="P111" s="38">
        <f t="shared" si="31"/>
        <v>26009814.719999999</v>
      </c>
      <c r="Q111" s="102">
        <f t="shared" si="28"/>
        <v>4.1655043002304657</v>
      </c>
      <c r="V111" s="47">
        <f t="shared" si="32"/>
        <v>-1083439.9506435767</v>
      </c>
    </row>
    <row r="112" spans="1:22" ht="15.6" x14ac:dyDescent="0.3">
      <c r="A112" s="13"/>
      <c r="B112" s="1" t="s">
        <v>147</v>
      </c>
      <c r="C112" s="1" t="s">
        <v>175</v>
      </c>
      <c r="D112" s="17">
        <v>32988765.829999998</v>
      </c>
      <c r="E112" s="17">
        <v>31713502.140000001</v>
      </c>
      <c r="F112" s="17">
        <v>30089571.289999999</v>
      </c>
      <c r="G112" s="17">
        <v>23894816.870000001</v>
      </c>
      <c r="H112" s="17">
        <v>24792648.940000001</v>
      </c>
      <c r="I112" s="1">
        <v>29671664.032499999</v>
      </c>
      <c r="J112" s="1">
        <v>-16.44334839851216</v>
      </c>
      <c r="K112" s="1">
        <v>-12.100568081853563</v>
      </c>
      <c r="L112" s="1">
        <v>-4.3427803166585974</v>
      </c>
      <c r="M112" s="52">
        <v>0</v>
      </c>
      <c r="N112" s="1">
        <f t="shared" si="29"/>
        <v>-12.100568081853563</v>
      </c>
      <c r="O112" s="38">
        <f t="shared" si="30"/>
        <v>26081224.12522848</v>
      </c>
      <c r="P112" s="38">
        <f t="shared" si="31"/>
        <v>24792648.940000001</v>
      </c>
      <c r="Q112" s="102">
        <f t="shared" si="28"/>
        <v>5.197408265437562</v>
      </c>
      <c r="V112" s="47">
        <f t="shared" si="32"/>
        <v>1288575.1852284782</v>
      </c>
    </row>
    <row r="113" spans="1:24" ht="15.6" x14ac:dyDescent="0.3">
      <c r="A113" s="2" t="s">
        <v>135</v>
      </c>
      <c r="B113" s="21" t="s">
        <v>148</v>
      </c>
      <c r="C113" s="1" t="s">
        <v>225</v>
      </c>
      <c r="D113" s="17">
        <v>32770227.68</v>
      </c>
      <c r="E113" s="17">
        <v>30045391.120000005</v>
      </c>
      <c r="F113" s="17">
        <v>28826716.32</v>
      </c>
      <c r="G113" s="17">
        <v>22574331.095999993</v>
      </c>
      <c r="H113" s="17">
        <v>23546634.488000005</v>
      </c>
      <c r="I113" s="1">
        <v>28554166.553999998</v>
      </c>
      <c r="J113" s="1">
        <v>-17.536957545337685</v>
      </c>
      <c r="K113" s="1">
        <v>-4.1531216977287055</v>
      </c>
      <c r="L113" s="1">
        <v>-13.38383584760898</v>
      </c>
      <c r="M113" s="52">
        <v>-14.179399999999999</v>
      </c>
      <c r="N113" s="1">
        <f t="shared" si="29"/>
        <v>-18.332521697728705</v>
      </c>
      <c r="O113" s="38">
        <f t="shared" si="30"/>
        <v>23319467.774882354</v>
      </c>
      <c r="P113" s="38">
        <f t="shared" si="31"/>
        <v>23546634.488000005</v>
      </c>
      <c r="Q113" s="102">
        <f t="shared" si="28"/>
        <v>0.9647523650712031</v>
      </c>
      <c r="V113" s="47">
        <f t="shared" si="32"/>
        <v>-227166.71311765164</v>
      </c>
    </row>
    <row r="114" spans="1:24" ht="15.6" x14ac:dyDescent="0.3">
      <c r="A114" s="13" t="s">
        <v>136</v>
      </c>
      <c r="B114" s="21" t="s">
        <v>149</v>
      </c>
      <c r="C114" s="1" t="s">
        <v>226</v>
      </c>
      <c r="D114" s="17">
        <v>31781409.335999999</v>
      </c>
      <c r="E114" s="17">
        <v>29018456.952000003</v>
      </c>
      <c r="F114" s="17">
        <v>23904977.280000001</v>
      </c>
      <c r="G114" s="17">
        <v>24557871.024000008</v>
      </c>
      <c r="H114" s="17">
        <v>22710128.848000001</v>
      </c>
      <c r="I114" s="1">
        <v>27315678.648000002</v>
      </c>
      <c r="J114" s="1">
        <v>-16.860462664496932</v>
      </c>
      <c r="K114" s="1">
        <v>-14.729437062818983</v>
      </c>
      <c r="L114" s="1">
        <v>-2.1310256016779494</v>
      </c>
      <c r="M114" s="52">
        <v>-6</v>
      </c>
      <c r="N114" s="1">
        <f t="shared" si="29"/>
        <v>-20.729437062818981</v>
      </c>
      <c r="O114" s="38">
        <f t="shared" si="30"/>
        <v>21653292.23438096</v>
      </c>
      <c r="P114" s="38">
        <f t="shared" si="31"/>
        <v>22710128.848000001</v>
      </c>
      <c r="Q114" s="102">
        <f t="shared" si="28"/>
        <v>4.6535914467614852</v>
      </c>
      <c r="V114" s="47">
        <f t="shared" si="32"/>
        <v>-1056836.6136190407</v>
      </c>
    </row>
    <row r="115" spans="1:24" ht="15.6" x14ac:dyDescent="0.3">
      <c r="A115" s="13"/>
      <c r="B115" s="22" t="s">
        <v>29</v>
      </c>
      <c r="C115" s="1" t="s">
        <v>227</v>
      </c>
      <c r="D115" s="17">
        <v>23174758.050000001</v>
      </c>
      <c r="E115" s="17">
        <v>30251428.73</v>
      </c>
      <c r="F115" s="17">
        <v>29853482.469999999</v>
      </c>
      <c r="G115" s="17">
        <v>29008793.579999998</v>
      </c>
      <c r="H115" s="17">
        <v>25031135.780000001</v>
      </c>
      <c r="I115" s="1">
        <v>28072115.7075</v>
      </c>
      <c r="J115" s="1">
        <v>-10.832742210048467</v>
      </c>
      <c r="K115" s="1">
        <v>-6.7678605279049853</v>
      </c>
      <c r="L115" s="1">
        <v>-4.0648816821434819</v>
      </c>
      <c r="M115" s="51">
        <v>0</v>
      </c>
      <c r="N115" s="1">
        <f t="shared" si="29"/>
        <v>-6.7678605279049853</v>
      </c>
      <c r="O115" s="38">
        <f t="shared" si="30"/>
        <v>26172234.069184292</v>
      </c>
      <c r="P115" s="38">
        <f t="shared" si="31"/>
        <v>25031135.780000001</v>
      </c>
      <c r="Q115" s="102">
        <f t="shared" si="28"/>
        <v>4.5587155901093146</v>
      </c>
      <c r="V115" s="47">
        <f t="shared" si="32"/>
        <v>1141098.2891842909</v>
      </c>
    </row>
    <row r="116" spans="1:24" ht="15.6" x14ac:dyDescent="0.3">
      <c r="A116" s="7"/>
      <c r="B116" s="21"/>
      <c r="C116" s="1"/>
      <c r="D116" s="17"/>
      <c r="E116" s="17"/>
      <c r="F116" s="17"/>
      <c r="G116" s="17"/>
      <c r="H116" s="17"/>
      <c r="I116" s="1"/>
      <c r="J116" s="1"/>
      <c r="K116" s="1"/>
      <c r="L116" s="1"/>
      <c r="M116" s="53"/>
      <c r="N116" s="1"/>
      <c r="O116" s="1"/>
      <c r="P116" s="37" t="s">
        <v>35</v>
      </c>
      <c r="Q116" s="37">
        <f>SUM(Q102:Q115)/14</f>
        <v>6.1960978368726547</v>
      </c>
      <c r="R116" s="36" t="s">
        <v>58</v>
      </c>
      <c r="S116">
        <f>SQRT(SUMXMY2(O102:O115, P102:P115) / COUNT(P102:P115))</f>
        <v>1652977.7393780791</v>
      </c>
      <c r="T116" s="36" t="s">
        <v>59</v>
      </c>
      <c r="U116" s="36">
        <f>RSQ(O102:O115,P102:P115)</f>
        <v>0.3535930390768412</v>
      </c>
      <c r="V116" s="36" t="s">
        <v>60</v>
      </c>
      <c r="W116" s="36">
        <f t="array" ref="W116">AVERAGE(ABS(V102:V115))</f>
        <v>1474038.3962399773</v>
      </c>
      <c r="X116" s="36" cm="1">
        <f t="array" ref="X116">SUMPRODUCT(ABS(O102:O115 - P102:P115)) / COUNT(O102:O115)</f>
        <v>1474038.3962399773</v>
      </c>
    </row>
    <row r="117" spans="1:24" ht="15.6" x14ac:dyDescent="0.3">
      <c r="A117" s="16"/>
      <c r="B117" s="16"/>
      <c r="C117" s="16"/>
      <c r="D117" s="33"/>
      <c r="E117" s="33"/>
      <c r="F117" s="33"/>
      <c r="G117" s="33"/>
      <c r="H117" s="33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24" ht="15.6" x14ac:dyDescent="0.3">
      <c r="A118" s="34" t="s">
        <v>246</v>
      </c>
      <c r="B118" s="16"/>
      <c r="C118" s="16"/>
      <c r="D118" s="33"/>
      <c r="E118" s="33"/>
      <c r="F118" s="33"/>
      <c r="G118" s="33"/>
      <c r="H118" s="33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24" ht="15.6" x14ac:dyDescent="0.3">
      <c r="A119" s="2" t="s">
        <v>123</v>
      </c>
      <c r="B119" s="2" t="s">
        <v>124</v>
      </c>
      <c r="C119" s="3" t="s">
        <v>125</v>
      </c>
      <c r="D119" s="107" t="s">
        <v>126</v>
      </c>
      <c r="E119" s="108"/>
      <c r="F119" s="108"/>
      <c r="G119" s="108"/>
      <c r="H119" s="108"/>
      <c r="I119" s="19" t="s">
        <v>254</v>
      </c>
      <c r="J119" s="6" t="s">
        <v>4</v>
      </c>
      <c r="K119" s="5" t="s">
        <v>5</v>
      </c>
      <c r="L119" s="169"/>
      <c r="M119" s="81"/>
      <c r="N119" s="82"/>
      <c r="O119" s="80"/>
      <c r="P119" s="81"/>
      <c r="Q119" s="81"/>
    </row>
    <row r="120" spans="1:24" ht="15.6" x14ac:dyDescent="0.3">
      <c r="A120" s="7"/>
      <c r="B120" s="7"/>
      <c r="C120" s="8"/>
      <c r="D120" s="9" t="s">
        <v>127</v>
      </c>
      <c r="E120" s="9" t="s">
        <v>128</v>
      </c>
      <c r="F120" s="9" t="s">
        <v>129</v>
      </c>
      <c r="G120" s="9" t="s">
        <v>130</v>
      </c>
      <c r="H120" s="9" t="s">
        <v>131</v>
      </c>
      <c r="I120" s="20" t="s">
        <v>255</v>
      </c>
      <c r="J120" s="12" t="s">
        <v>52</v>
      </c>
      <c r="K120" s="10" t="s">
        <v>6</v>
      </c>
      <c r="L120" s="169"/>
      <c r="M120" s="81"/>
      <c r="N120" s="82"/>
      <c r="O120" s="80"/>
      <c r="P120" s="81"/>
      <c r="Q120" s="81"/>
    </row>
    <row r="121" spans="1:24" ht="15.6" x14ac:dyDescent="0.3">
      <c r="A121" s="2" t="s">
        <v>132</v>
      </c>
      <c r="B121" s="1" t="s">
        <v>137</v>
      </c>
      <c r="C121" s="1" t="s">
        <v>215</v>
      </c>
      <c r="D121" s="17">
        <v>31962075.063999999</v>
      </c>
      <c r="E121" s="17">
        <v>31389832.191999998</v>
      </c>
      <c r="F121" s="17">
        <v>30887111.496000003</v>
      </c>
      <c r="G121" s="17">
        <v>27674658.719999999</v>
      </c>
      <c r="H121" s="17">
        <v>25001165.223999992</v>
      </c>
      <c r="I121" s="1">
        <v>22341811.23</v>
      </c>
      <c r="J121" s="17">
        <f>H121</f>
        <v>25001165.223999992</v>
      </c>
      <c r="K121" s="1">
        <f>ABS((I121-J121)/J121)*100</f>
        <v>10.636920200211835</v>
      </c>
      <c r="L121" s="16"/>
      <c r="M121" s="103"/>
      <c r="N121" s="16"/>
      <c r="O121" s="104"/>
      <c r="P121" s="104"/>
      <c r="Q121" s="16"/>
      <c r="V121" s="47">
        <f>(O121-P121)</f>
        <v>0</v>
      </c>
    </row>
    <row r="122" spans="1:24" ht="15.6" x14ac:dyDescent="0.3">
      <c r="A122" s="7"/>
      <c r="B122" s="1" t="s">
        <v>138</v>
      </c>
      <c r="C122" s="1" t="s">
        <v>216</v>
      </c>
      <c r="D122" s="17">
        <v>27235140.030000001</v>
      </c>
      <c r="E122" s="17">
        <v>28261723.059999999</v>
      </c>
      <c r="F122" s="17">
        <v>29261317.649999999</v>
      </c>
      <c r="G122" s="17">
        <v>25243722.100000001</v>
      </c>
      <c r="H122" s="17">
        <v>24512817.800000001</v>
      </c>
      <c r="I122" s="1">
        <v>22433867.32</v>
      </c>
      <c r="J122" s="17">
        <f t="shared" ref="J122:J134" si="33">H122</f>
        <v>24512817.800000001</v>
      </c>
      <c r="K122" s="1">
        <f t="shared" ref="K122:K134" si="34">ABS((I122-J122)/J122)*100</f>
        <v>8.4810750724871813</v>
      </c>
      <c r="L122" s="16"/>
      <c r="M122" s="105"/>
      <c r="N122" s="16"/>
      <c r="O122" s="104"/>
      <c r="P122" s="104"/>
      <c r="Q122" s="16"/>
      <c r="V122" s="47">
        <f t="shared" ref="V122:V134" si="35">(O122-P122)</f>
        <v>0</v>
      </c>
    </row>
    <row r="123" spans="1:24" ht="15.6" x14ac:dyDescent="0.3">
      <c r="A123" s="2" t="s">
        <v>133</v>
      </c>
      <c r="B123" s="1" t="s">
        <v>139</v>
      </c>
      <c r="C123" s="1" t="s">
        <v>217</v>
      </c>
      <c r="D123" s="17">
        <v>31957263.199999999</v>
      </c>
      <c r="E123" s="17">
        <v>31021032.050000001</v>
      </c>
      <c r="F123" s="17">
        <v>30016114.25</v>
      </c>
      <c r="G123" s="17">
        <v>25024126.18</v>
      </c>
      <c r="H123" s="17">
        <v>24126175.350000001</v>
      </c>
      <c r="I123" s="1">
        <v>22640656.629999999</v>
      </c>
      <c r="J123" s="17">
        <f t="shared" si="33"/>
        <v>24126175.350000001</v>
      </c>
      <c r="K123" s="1">
        <f t="shared" si="34"/>
        <v>6.1572905711306722</v>
      </c>
      <c r="L123" s="16"/>
      <c r="M123" s="105"/>
      <c r="N123" s="16"/>
      <c r="O123" s="104"/>
      <c r="P123" s="104"/>
      <c r="Q123" s="16"/>
      <c r="V123" s="47">
        <f t="shared" si="35"/>
        <v>0</v>
      </c>
    </row>
    <row r="124" spans="1:24" ht="15.6" x14ac:dyDescent="0.3">
      <c r="A124" s="13"/>
      <c r="B124" s="1" t="s">
        <v>140</v>
      </c>
      <c r="C124" s="1" t="s">
        <v>218</v>
      </c>
      <c r="D124" s="17">
        <v>30050152.559999999</v>
      </c>
      <c r="E124" s="17">
        <v>26598716.23</v>
      </c>
      <c r="F124" s="17">
        <v>26845795.579999998</v>
      </c>
      <c r="G124" s="17">
        <v>27003129.120000001</v>
      </c>
      <c r="H124" s="17">
        <v>25429718.52</v>
      </c>
      <c r="I124" s="1">
        <v>22201767.23</v>
      </c>
      <c r="J124" s="17">
        <f t="shared" si="33"/>
        <v>25429718.52</v>
      </c>
      <c r="K124" s="1">
        <f t="shared" si="34"/>
        <v>12.693617852912039</v>
      </c>
      <c r="L124" s="16"/>
      <c r="M124" s="105"/>
      <c r="N124" s="16"/>
      <c r="O124" s="104"/>
      <c r="P124" s="104"/>
      <c r="Q124" s="16"/>
      <c r="V124" s="47">
        <f t="shared" si="35"/>
        <v>0</v>
      </c>
    </row>
    <row r="125" spans="1:24" ht="15.6" x14ac:dyDescent="0.3">
      <c r="A125" s="13"/>
      <c r="B125" s="1" t="s">
        <v>141</v>
      </c>
      <c r="C125" s="1" t="s">
        <v>219</v>
      </c>
      <c r="D125" s="17">
        <v>30101526.079999998</v>
      </c>
      <c r="E125" s="17">
        <v>28313128.739999998</v>
      </c>
      <c r="F125" s="17">
        <v>28015138.359999999</v>
      </c>
      <c r="G125" s="17">
        <v>24826248.280000001</v>
      </c>
      <c r="H125" s="17">
        <v>24516278.84</v>
      </c>
      <c r="I125" s="1">
        <v>22051813.149999999</v>
      </c>
      <c r="J125" s="17">
        <f t="shared" si="33"/>
        <v>24516278.84</v>
      </c>
      <c r="K125" s="1">
        <f t="shared" si="34"/>
        <v>10.052364415023114</v>
      </c>
      <c r="L125" s="16"/>
      <c r="M125" s="105"/>
      <c r="N125" s="16"/>
      <c r="O125" s="104"/>
      <c r="P125" s="104"/>
      <c r="Q125" s="16"/>
      <c r="V125" s="47">
        <f t="shared" si="35"/>
        <v>0</v>
      </c>
    </row>
    <row r="126" spans="1:24" ht="15.6" x14ac:dyDescent="0.3">
      <c r="A126" s="13"/>
      <c r="B126" s="1" t="s">
        <v>142</v>
      </c>
      <c r="C126" s="1" t="s">
        <v>220</v>
      </c>
      <c r="D126" s="17">
        <v>22303982.776000001</v>
      </c>
      <c r="E126" s="17">
        <v>29489179.431999993</v>
      </c>
      <c r="F126" s="17">
        <v>31781409.335999999</v>
      </c>
      <c r="G126" s="17">
        <v>29018456.952000003</v>
      </c>
      <c r="H126" s="17">
        <v>23904977.280000001</v>
      </c>
      <c r="I126" s="1">
        <v>23679295.68</v>
      </c>
      <c r="J126" s="17">
        <f t="shared" si="33"/>
        <v>23904977.280000001</v>
      </c>
      <c r="K126" s="1">
        <f t="shared" si="34"/>
        <v>0.94407786862369059</v>
      </c>
      <c r="L126" s="16"/>
      <c r="M126" s="106"/>
      <c r="N126" s="16"/>
      <c r="O126" s="104"/>
      <c r="P126" s="104"/>
      <c r="Q126" s="16"/>
      <c r="V126" s="47">
        <f t="shared" si="35"/>
        <v>0</v>
      </c>
    </row>
    <row r="127" spans="1:24" ht="15.6" x14ac:dyDescent="0.3">
      <c r="A127" s="13"/>
      <c r="B127" s="1" t="s">
        <v>143</v>
      </c>
      <c r="C127" s="1" t="s">
        <v>221</v>
      </c>
      <c r="D127" s="17">
        <v>28929860.432</v>
      </c>
      <c r="E127" s="17">
        <v>23254492.015999991</v>
      </c>
      <c r="F127" s="17">
        <v>25535227.792000003</v>
      </c>
      <c r="G127" s="17">
        <v>22107167.400000002</v>
      </c>
      <c r="H127" s="17">
        <v>20221836.344000001</v>
      </c>
      <c r="I127" s="1">
        <v>21728444.460000001</v>
      </c>
      <c r="J127" s="17">
        <f t="shared" si="33"/>
        <v>20221836.344000001</v>
      </c>
      <c r="K127" s="1">
        <f t="shared" si="34"/>
        <v>7.4504020820395205</v>
      </c>
      <c r="L127" s="16"/>
      <c r="M127" s="105"/>
      <c r="N127" s="16"/>
      <c r="O127" s="104"/>
      <c r="P127" s="104"/>
      <c r="Q127" s="16"/>
      <c r="V127" s="47">
        <f t="shared" si="35"/>
        <v>0</v>
      </c>
    </row>
    <row r="128" spans="1:24" ht="15.6" x14ac:dyDescent="0.3">
      <c r="A128" s="13"/>
      <c r="B128" s="1" t="s">
        <v>144</v>
      </c>
      <c r="C128" s="1" t="s">
        <v>222</v>
      </c>
      <c r="D128" s="17">
        <v>23254492.015999991</v>
      </c>
      <c r="E128" s="17">
        <v>25535227.792000003</v>
      </c>
      <c r="F128" s="17">
        <v>22107167.400000002</v>
      </c>
      <c r="G128" s="17">
        <v>20221836.344000001</v>
      </c>
      <c r="H128" s="17">
        <v>20717922.855999995</v>
      </c>
      <c r="I128" s="1">
        <v>21600443.350000001</v>
      </c>
      <c r="J128" s="17">
        <f t="shared" si="33"/>
        <v>20717922.855999995</v>
      </c>
      <c r="K128" s="1">
        <f t="shared" si="34"/>
        <v>4.2596958205413191</v>
      </c>
      <c r="L128" s="16"/>
      <c r="M128" s="106"/>
      <c r="N128" s="16"/>
      <c r="O128" s="104"/>
      <c r="P128" s="104"/>
      <c r="Q128" s="16"/>
      <c r="V128" s="47">
        <f t="shared" si="35"/>
        <v>0</v>
      </c>
    </row>
    <row r="129" spans="1:24" ht="15.6" x14ac:dyDescent="0.3">
      <c r="A129" s="2" t="s">
        <v>134</v>
      </c>
      <c r="B129" s="1" t="s">
        <v>145</v>
      </c>
      <c r="C129" s="1" t="s">
        <v>223</v>
      </c>
      <c r="D129" s="17">
        <v>33264636.728000011</v>
      </c>
      <c r="E129" s="17">
        <v>31685393.768160004</v>
      </c>
      <c r="F129" s="17">
        <v>32736842.800000008</v>
      </c>
      <c r="G129" s="17">
        <v>31201639.880000003</v>
      </c>
      <c r="H129" s="17">
        <v>25986091.631999992</v>
      </c>
      <c r="I129" s="1">
        <v>22118616.989999998</v>
      </c>
      <c r="J129" s="17">
        <f t="shared" si="33"/>
        <v>25986091.631999992</v>
      </c>
      <c r="K129" s="1">
        <f t="shared" si="34"/>
        <v>14.882863867213791</v>
      </c>
      <c r="L129" s="16"/>
      <c r="M129" s="106"/>
      <c r="N129" s="16"/>
      <c r="O129" s="104"/>
      <c r="P129" s="104"/>
      <c r="Q129" s="16"/>
      <c r="V129" s="47">
        <f t="shared" si="35"/>
        <v>0</v>
      </c>
    </row>
    <row r="130" spans="1:24" ht="15.6" x14ac:dyDescent="0.3">
      <c r="A130" s="13"/>
      <c r="B130" s="1" t="s">
        <v>146</v>
      </c>
      <c r="C130" s="1" t="s">
        <v>224</v>
      </c>
      <c r="D130" s="17">
        <v>28258348.390000001</v>
      </c>
      <c r="E130" s="17">
        <v>30515258.920000002</v>
      </c>
      <c r="F130" s="17">
        <v>30187192.210000001</v>
      </c>
      <c r="G130" s="17">
        <v>28987478.309999999</v>
      </c>
      <c r="H130" s="17">
        <v>26009814.719999999</v>
      </c>
      <c r="I130" s="1">
        <v>22549861.289999999</v>
      </c>
      <c r="J130" s="17">
        <f t="shared" si="33"/>
        <v>26009814.719999999</v>
      </c>
      <c r="K130" s="1">
        <f t="shared" si="34"/>
        <v>13.302491644969319</v>
      </c>
      <c r="L130" s="16"/>
      <c r="M130" s="105"/>
      <c r="N130" s="16"/>
      <c r="O130" s="104"/>
      <c r="P130" s="104"/>
      <c r="Q130" s="16"/>
      <c r="V130" s="47">
        <f t="shared" si="35"/>
        <v>0</v>
      </c>
    </row>
    <row r="131" spans="1:24" ht="15.6" x14ac:dyDescent="0.3">
      <c r="A131" s="13"/>
      <c r="B131" s="1" t="s">
        <v>147</v>
      </c>
      <c r="C131" s="1" t="s">
        <v>175</v>
      </c>
      <c r="D131" s="17">
        <v>32988765.829999998</v>
      </c>
      <c r="E131" s="17">
        <v>31713502.140000001</v>
      </c>
      <c r="F131" s="17">
        <v>30089571.289999999</v>
      </c>
      <c r="G131" s="17">
        <v>23894816.870000001</v>
      </c>
      <c r="H131" s="17">
        <v>24792648.940000001</v>
      </c>
      <c r="I131" s="1">
        <v>23006651.620000001</v>
      </c>
      <c r="J131" s="17">
        <f t="shared" si="33"/>
        <v>24792648.940000001</v>
      </c>
      <c r="K131" s="1">
        <f t="shared" si="34"/>
        <v>7.2037373832955192</v>
      </c>
      <c r="L131" s="16"/>
      <c r="M131" s="106"/>
      <c r="N131" s="16"/>
      <c r="O131" s="104"/>
      <c r="P131" s="104"/>
      <c r="Q131" s="16"/>
      <c r="V131" s="47">
        <f t="shared" si="35"/>
        <v>0</v>
      </c>
    </row>
    <row r="132" spans="1:24" ht="15.6" x14ac:dyDescent="0.3">
      <c r="A132" s="2" t="s">
        <v>135</v>
      </c>
      <c r="B132" s="21" t="s">
        <v>148</v>
      </c>
      <c r="C132" s="1" t="s">
        <v>225</v>
      </c>
      <c r="D132" s="17">
        <v>32770227.68</v>
      </c>
      <c r="E132" s="17">
        <v>30045391.120000005</v>
      </c>
      <c r="F132" s="17">
        <v>28826716.32</v>
      </c>
      <c r="G132" s="17">
        <v>22574331.095999993</v>
      </c>
      <c r="H132" s="17">
        <v>23546634.488000005</v>
      </c>
      <c r="I132" s="1">
        <v>22512655.420000002</v>
      </c>
      <c r="J132" s="17">
        <f t="shared" si="33"/>
        <v>23546634.488000005</v>
      </c>
      <c r="K132" s="1">
        <f t="shared" si="34"/>
        <v>4.3911968333603983</v>
      </c>
      <c r="L132" s="16"/>
      <c r="M132" s="106"/>
      <c r="N132" s="16"/>
      <c r="O132" s="104"/>
      <c r="P132" s="104"/>
      <c r="Q132" s="16"/>
      <c r="V132" s="47">
        <f t="shared" si="35"/>
        <v>0</v>
      </c>
    </row>
    <row r="133" spans="1:24" ht="15.6" x14ac:dyDescent="0.3">
      <c r="A133" s="13" t="s">
        <v>136</v>
      </c>
      <c r="B133" s="21" t="s">
        <v>149</v>
      </c>
      <c r="C133" s="1" t="s">
        <v>226</v>
      </c>
      <c r="D133" s="17">
        <v>31781409.335999999</v>
      </c>
      <c r="E133" s="17">
        <v>29018456.952000003</v>
      </c>
      <c r="F133" s="17">
        <v>23904977.280000001</v>
      </c>
      <c r="G133" s="17">
        <v>24557871.024000008</v>
      </c>
      <c r="H133" s="17">
        <v>22710128.848000001</v>
      </c>
      <c r="I133" s="1">
        <v>21824984.109999999</v>
      </c>
      <c r="J133" s="17">
        <f t="shared" si="33"/>
        <v>22710128.848000001</v>
      </c>
      <c r="K133" s="1">
        <f t="shared" si="34"/>
        <v>3.8975769090713603</v>
      </c>
      <c r="L133" s="16"/>
      <c r="M133" s="106"/>
      <c r="N133" s="16"/>
      <c r="O133" s="104"/>
      <c r="P133" s="104"/>
      <c r="Q133" s="16"/>
      <c r="V133" s="47">
        <f t="shared" si="35"/>
        <v>0</v>
      </c>
    </row>
    <row r="134" spans="1:24" ht="15.6" x14ac:dyDescent="0.3">
      <c r="A134" s="13"/>
      <c r="B134" s="22" t="s">
        <v>29</v>
      </c>
      <c r="C134" s="1" t="s">
        <v>227</v>
      </c>
      <c r="D134" s="17">
        <v>23174758.050000001</v>
      </c>
      <c r="E134" s="17">
        <v>30251428.73</v>
      </c>
      <c r="F134" s="17">
        <v>29853482.469999999</v>
      </c>
      <c r="G134" s="17">
        <v>29008793.579999998</v>
      </c>
      <c r="H134" s="17">
        <v>25031135.780000001</v>
      </c>
      <c r="I134" s="1">
        <v>23692700.399999999</v>
      </c>
      <c r="J134" s="17">
        <f t="shared" si="33"/>
        <v>25031135.780000001</v>
      </c>
      <c r="K134" s="1">
        <f t="shared" si="34"/>
        <v>5.347082097127287</v>
      </c>
      <c r="L134" s="16"/>
      <c r="M134" s="105"/>
      <c r="N134" s="16"/>
      <c r="O134" s="104"/>
      <c r="P134" s="104"/>
      <c r="Q134" s="16"/>
      <c r="V134" s="47">
        <f t="shared" si="35"/>
        <v>0</v>
      </c>
    </row>
    <row r="135" spans="1:24" ht="15.6" x14ac:dyDescent="0.3">
      <c r="A135" s="7"/>
      <c r="B135" s="21"/>
      <c r="C135" s="1"/>
      <c r="D135" s="17"/>
      <c r="E135" s="17"/>
      <c r="F135" s="17"/>
      <c r="G135" s="17"/>
      <c r="H135" s="17"/>
      <c r="I135" s="1"/>
      <c r="J135" s="37" t="s">
        <v>35</v>
      </c>
      <c r="K135" s="37">
        <f>SUM(K121:K134)/14</f>
        <v>7.8357423298576458</v>
      </c>
      <c r="L135" s="16"/>
      <c r="M135" s="101"/>
      <c r="N135" s="16"/>
      <c r="O135" s="16"/>
      <c r="P135" s="29"/>
      <c r="Q135" s="29"/>
      <c r="R135" s="36" t="s">
        <v>58</v>
      </c>
      <c r="S135" t="e">
        <f>SQRT(SUMXMY2(O121:O134, P121:P134) / COUNT(P121:P134))</f>
        <v>#DIV/0!</v>
      </c>
      <c r="T135" s="36" t="s">
        <v>59</v>
      </c>
      <c r="U135" s="36" t="e">
        <f>RSQ(O121:O134,P121:P134)</f>
        <v>#DIV/0!</v>
      </c>
      <c r="V135" s="36" t="s">
        <v>60</v>
      </c>
      <c r="W135" s="36">
        <f t="array" ref="W135">AVERAGE(ABS(V121:V134))</f>
        <v>0</v>
      </c>
      <c r="X135" s="36" t="e" cm="1">
        <f t="array" ref="X135">SUMPRODUCT(ABS(O121:O134 - P121:P134)) / COUNT(O121:O134)</f>
        <v>#DIV/0!</v>
      </c>
    </row>
    <row r="136" spans="1:24" ht="15.6" x14ac:dyDescent="0.3">
      <c r="A136" s="16"/>
      <c r="B136" s="16"/>
      <c r="C136" s="16"/>
      <c r="D136" s="33"/>
      <c r="E136" s="33"/>
      <c r="F136" s="33"/>
      <c r="G136" s="33"/>
      <c r="H136" s="33"/>
      <c r="I136" s="16"/>
      <c r="J136" s="16"/>
      <c r="K136" s="16"/>
      <c r="L136" s="16"/>
      <c r="M136" s="101"/>
      <c r="N136" s="16"/>
      <c r="O136" s="16"/>
      <c r="P136" s="29"/>
      <c r="Q136" s="29"/>
      <c r="R136" s="36"/>
      <c r="T136" s="36"/>
      <c r="U136" s="36"/>
      <c r="V136" s="36"/>
      <c r="W136" s="36"/>
      <c r="X136" s="36"/>
    </row>
    <row r="137" spans="1:24" ht="15.6" x14ac:dyDescent="0.3">
      <c r="A137" s="34" t="s">
        <v>247</v>
      </c>
      <c r="B137" s="16"/>
      <c r="C137" s="16"/>
      <c r="D137" s="33"/>
      <c r="E137" s="33"/>
      <c r="F137" s="33"/>
      <c r="G137" s="33"/>
      <c r="H137" s="33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24" ht="15.6" x14ac:dyDescent="0.3">
      <c r="A138" s="2" t="s">
        <v>123</v>
      </c>
      <c r="B138" s="2" t="s">
        <v>124</v>
      </c>
      <c r="C138" s="3" t="s">
        <v>125</v>
      </c>
      <c r="D138" s="107" t="s">
        <v>126</v>
      </c>
      <c r="E138" s="108"/>
      <c r="F138" s="108"/>
      <c r="G138" s="108"/>
      <c r="H138" s="108"/>
      <c r="I138" s="19" t="s">
        <v>254</v>
      </c>
      <c r="J138" s="6" t="s">
        <v>4</v>
      </c>
      <c r="K138" s="5" t="s">
        <v>5</v>
      </c>
      <c r="L138" s="169"/>
      <c r="M138" s="81"/>
      <c r="N138" s="82"/>
      <c r="O138" s="80"/>
      <c r="P138" s="81"/>
      <c r="Q138" s="81"/>
    </row>
    <row r="139" spans="1:24" ht="15.6" x14ac:dyDescent="0.3">
      <c r="A139" s="7"/>
      <c r="B139" s="7"/>
      <c r="C139" s="8"/>
      <c r="D139" s="9" t="s">
        <v>127</v>
      </c>
      <c r="E139" s="9" t="s">
        <v>128</v>
      </c>
      <c r="F139" s="9" t="s">
        <v>129</v>
      </c>
      <c r="G139" s="9" t="s">
        <v>130</v>
      </c>
      <c r="H139" s="9" t="s">
        <v>131</v>
      </c>
      <c r="I139" s="20" t="s">
        <v>255</v>
      </c>
      <c r="J139" s="12" t="s">
        <v>52</v>
      </c>
      <c r="K139" s="10" t="s">
        <v>6</v>
      </c>
      <c r="L139" s="169"/>
      <c r="M139" s="81"/>
      <c r="N139" s="82"/>
      <c r="O139" s="80"/>
      <c r="P139" s="81"/>
      <c r="Q139" s="81"/>
    </row>
    <row r="140" spans="1:24" ht="15.6" x14ac:dyDescent="0.3">
      <c r="A140" s="2" t="s">
        <v>132</v>
      </c>
      <c r="B140" s="1" t="s">
        <v>137</v>
      </c>
      <c r="C140" s="1" t="s">
        <v>215</v>
      </c>
      <c r="D140" s="17">
        <v>31962075.063999999</v>
      </c>
      <c r="E140" s="17">
        <v>31389832.191999998</v>
      </c>
      <c r="F140" s="17">
        <v>30887111.496000003</v>
      </c>
      <c r="G140" s="17">
        <v>27674658.719999999</v>
      </c>
      <c r="H140" s="17">
        <v>25001165.223999992</v>
      </c>
      <c r="I140" s="1">
        <v>23467018.350000001</v>
      </c>
      <c r="J140" s="17">
        <f>H140</f>
        <v>25001165.223999992</v>
      </c>
      <c r="K140" s="1">
        <f>ABS((I140-J140)/J140)*100</f>
        <v>6.1363014893692984</v>
      </c>
      <c r="L140" s="16"/>
      <c r="M140" s="103"/>
      <c r="N140" s="16"/>
      <c r="O140" s="104"/>
      <c r="P140" s="104"/>
      <c r="Q140" s="16"/>
      <c r="V140" s="47">
        <f>(O140-P140)</f>
        <v>0</v>
      </c>
    </row>
    <row r="141" spans="1:24" ht="15.6" x14ac:dyDescent="0.3">
      <c r="A141" s="7"/>
      <c r="B141" s="1" t="s">
        <v>138</v>
      </c>
      <c r="C141" s="1" t="s">
        <v>216</v>
      </c>
      <c r="D141" s="17">
        <v>27235140.030000001</v>
      </c>
      <c r="E141" s="17">
        <v>28261723.059999999</v>
      </c>
      <c r="F141" s="17">
        <v>29261317.649999999</v>
      </c>
      <c r="G141" s="17">
        <v>25243722.100000001</v>
      </c>
      <c r="H141" s="17">
        <v>24512817.800000001</v>
      </c>
      <c r="I141" s="1">
        <v>22404539.489999998</v>
      </c>
      <c r="J141" s="17">
        <f t="shared" ref="J141:J153" si="36">H141</f>
        <v>24512817.800000001</v>
      </c>
      <c r="K141" s="1">
        <f t="shared" ref="K141:K153" si="37">ABS((I141-J141)/J141)*100</f>
        <v>8.6007179068577031</v>
      </c>
      <c r="L141" s="16"/>
      <c r="M141" s="105"/>
      <c r="N141" s="16"/>
      <c r="O141" s="104"/>
      <c r="P141" s="104"/>
      <c r="Q141" s="16"/>
      <c r="V141" s="47">
        <f t="shared" ref="V141:V153" si="38">(O141-P141)</f>
        <v>0</v>
      </c>
    </row>
    <row r="142" spans="1:24" ht="15.6" x14ac:dyDescent="0.3">
      <c r="A142" s="2" t="s">
        <v>133</v>
      </c>
      <c r="B142" s="1" t="s">
        <v>139</v>
      </c>
      <c r="C142" s="1" t="s">
        <v>217</v>
      </c>
      <c r="D142" s="17">
        <v>31957263.199999999</v>
      </c>
      <c r="E142" s="17">
        <v>31021032.050000001</v>
      </c>
      <c r="F142" s="17">
        <v>30016114.25</v>
      </c>
      <c r="G142" s="17">
        <v>25024126.18</v>
      </c>
      <c r="H142" s="17">
        <v>24126175.350000001</v>
      </c>
      <c r="I142" s="1">
        <v>22526094.629999999</v>
      </c>
      <c r="J142" s="17">
        <f t="shared" si="36"/>
        <v>24126175.350000001</v>
      </c>
      <c r="K142" s="1">
        <f t="shared" si="37"/>
        <v>6.6321358308456562</v>
      </c>
      <c r="L142" s="16"/>
      <c r="M142" s="105"/>
      <c r="N142" s="16"/>
      <c r="O142" s="104"/>
      <c r="P142" s="104"/>
      <c r="Q142" s="16"/>
      <c r="V142" s="47">
        <f t="shared" si="38"/>
        <v>0</v>
      </c>
    </row>
    <row r="143" spans="1:24" ht="15.6" x14ac:dyDescent="0.3">
      <c r="A143" s="13"/>
      <c r="B143" s="1" t="s">
        <v>140</v>
      </c>
      <c r="C143" s="1" t="s">
        <v>218</v>
      </c>
      <c r="D143" s="17">
        <v>30050152.559999999</v>
      </c>
      <c r="E143" s="17">
        <v>26598716.23</v>
      </c>
      <c r="F143" s="17">
        <v>26845795.579999998</v>
      </c>
      <c r="G143" s="17">
        <v>27003129.120000001</v>
      </c>
      <c r="H143" s="17">
        <v>25429718.52</v>
      </c>
      <c r="I143" s="1">
        <v>22698447.550000001</v>
      </c>
      <c r="J143" s="17">
        <f t="shared" si="36"/>
        <v>25429718.52</v>
      </c>
      <c r="K143" s="1">
        <f t="shared" si="37"/>
        <v>10.74046874664344</v>
      </c>
      <c r="L143" s="16"/>
      <c r="M143" s="105"/>
      <c r="N143" s="16"/>
      <c r="O143" s="104"/>
      <c r="P143" s="104"/>
      <c r="Q143" s="16"/>
      <c r="V143" s="47">
        <f t="shared" si="38"/>
        <v>0</v>
      </c>
    </row>
    <row r="144" spans="1:24" ht="15.6" x14ac:dyDescent="0.3">
      <c r="A144" s="13"/>
      <c r="B144" s="1" t="s">
        <v>141</v>
      </c>
      <c r="C144" s="1" t="s">
        <v>219</v>
      </c>
      <c r="D144" s="17">
        <v>30101526.079999998</v>
      </c>
      <c r="E144" s="17">
        <v>28313128.739999998</v>
      </c>
      <c r="F144" s="17">
        <v>28015138.359999999</v>
      </c>
      <c r="G144" s="17">
        <v>24826248.280000001</v>
      </c>
      <c r="H144" s="17">
        <v>24516278.84</v>
      </c>
      <c r="I144" s="1">
        <v>22277568.789999999</v>
      </c>
      <c r="J144" s="17">
        <f t="shared" si="36"/>
        <v>24516278.84</v>
      </c>
      <c r="K144" s="1">
        <f t="shared" si="37"/>
        <v>9.1315246682028715</v>
      </c>
      <c r="L144" s="16"/>
      <c r="M144" s="105"/>
      <c r="N144" s="16"/>
      <c r="O144" s="104"/>
      <c r="P144" s="104"/>
      <c r="Q144" s="16"/>
      <c r="V144" s="47">
        <f t="shared" si="38"/>
        <v>0</v>
      </c>
    </row>
    <row r="145" spans="1:24" ht="15.6" x14ac:dyDescent="0.3">
      <c r="A145" s="13"/>
      <c r="B145" s="1" t="s">
        <v>142</v>
      </c>
      <c r="C145" s="1" t="s">
        <v>220</v>
      </c>
      <c r="D145" s="17">
        <v>22303982.776000001</v>
      </c>
      <c r="E145" s="17">
        <v>29489179.431999993</v>
      </c>
      <c r="F145" s="17">
        <v>31781409.335999999</v>
      </c>
      <c r="G145" s="17">
        <v>29018456.952000003</v>
      </c>
      <c r="H145" s="17">
        <v>23904977.280000001</v>
      </c>
      <c r="I145" s="1">
        <v>23446726.170000002</v>
      </c>
      <c r="J145" s="17">
        <f t="shared" si="36"/>
        <v>23904977.280000001</v>
      </c>
      <c r="K145" s="1">
        <f t="shared" si="37"/>
        <v>1.9169694437793643</v>
      </c>
      <c r="L145" s="16"/>
      <c r="M145" s="106"/>
      <c r="N145" s="16"/>
      <c r="O145" s="104"/>
      <c r="P145" s="104"/>
      <c r="Q145" s="16"/>
      <c r="V145" s="47">
        <f t="shared" si="38"/>
        <v>0</v>
      </c>
    </row>
    <row r="146" spans="1:24" ht="15.6" x14ac:dyDescent="0.3">
      <c r="A146" s="13"/>
      <c r="B146" s="1" t="s">
        <v>143</v>
      </c>
      <c r="C146" s="1" t="s">
        <v>221</v>
      </c>
      <c r="D146" s="17">
        <v>28929860.432</v>
      </c>
      <c r="E146" s="17">
        <v>23254492.015999991</v>
      </c>
      <c r="F146" s="17">
        <v>25535227.792000003</v>
      </c>
      <c r="G146" s="17">
        <v>22107167.400000002</v>
      </c>
      <c r="H146" s="17">
        <v>20221836.344000001</v>
      </c>
      <c r="I146" s="1">
        <v>21325595.579999998</v>
      </c>
      <c r="J146" s="17">
        <f t="shared" si="36"/>
        <v>20221836.344000001</v>
      </c>
      <c r="K146" s="1">
        <f t="shared" si="37"/>
        <v>5.4582542219391117</v>
      </c>
      <c r="L146" s="16"/>
      <c r="M146" s="105"/>
      <c r="N146" s="16"/>
      <c r="O146" s="104"/>
      <c r="P146" s="104"/>
      <c r="Q146" s="16"/>
      <c r="V146" s="47">
        <f t="shared" si="38"/>
        <v>0</v>
      </c>
    </row>
    <row r="147" spans="1:24" ht="15.6" x14ac:dyDescent="0.3">
      <c r="A147" s="13"/>
      <c r="B147" s="1" t="s">
        <v>144</v>
      </c>
      <c r="C147" s="1" t="s">
        <v>222</v>
      </c>
      <c r="D147" s="17">
        <v>23254492.015999991</v>
      </c>
      <c r="E147" s="17">
        <v>25535227.792000003</v>
      </c>
      <c r="F147" s="17">
        <v>22107167.400000002</v>
      </c>
      <c r="G147" s="17">
        <v>20221836.344000001</v>
      </c>
      <c r="H147" s="17">
        <v>20717922.855999995</v>
      </c>
      <c r="I147" s="1">
        <v>21206589.800000001</v>
      </c>
      <c r="J147" s="17">
        <f t="shared" si="36"/>
        <v>20717922.855999995</v>
      </c>
      <c r="K147" s="1">
        <f t="shared" si="37"/>
        <v>2.3586676492449907</v>
      </c>
      <c r="L147" s="16"/>
      <c r="M147" s="106"/>
      <c r="N147" s="16"/>
      <c r="O147" s="104"/>
      <c r="P147" s="104"/>
      <c r="Q147" s="16"/>
      <c r="V147" s="47">
        <f t="shared" si="38"/>
        <v>0</v>
      </c>
    </row>
    <row r="148" spans="1:24" ht="15.6" x14ac:dyDescent="0.3">
      <c r="A148" s="2" t="s">
        <v>134</v>
      </c>
      <c r="B148" s="1" t="s">
        <v>145</v>
      </c>
      <c r="C148" s="1" t="s">
        <v>223</v>
      </c>
      <c r="D148" s="17">
        <v>33264636.728000011</v>
      </c>
      <c r="E148" s="17">
        <v>31685393.768160004</v>
      </c>
      <c r="F148" s="17">
        <v>32736842.800000008</v>
      </c>
      <c r="G148" s="17">
        <v>31201639.880000003</v>
      </c>
      <c r="H148" s="17">
        <v>25986091.631999992</v>
      </c>
      <c r="I148" s="1">
        <v>23597787.07</v>
      </c>
      <c r="J148" s="17">
        <f t="shared" si="36"/>
        <v>25986091.631999992</v>
      </c>
      <c r="K148" s="1">
        <f t="shared" si="37"/>
        <v>9.1907032262557227</v>
      </c>
      <c r="L148" s="16"/>
      <c r="M148" s="106"/>
      <c r="N148" s="16"/>
      <c r="O148" s="104"/>
      <c r="P148" s="104"/>
      <c r="Q148" s="16"/>
      <c r="V148" s="47">
        <f t="shared" si="38"/>
        <v>0</v>
      </c>
    </row>
    <row r="149" spans="1:24" ht="15.6" x14ac:dyDescent="0.3">
      <c r="A149" s="13"/>
      <c r="B149" s="1" t="s">
        <v>146</v>
      </c>
      <c r="C149" s="1" t="s">
        <v>224</v>
      </c>
      <c r="D149" s="17">
        <v>28258348.390000001</v>
      </c>
      <c r="E149" s="17">
        <v>30515258.920000002</v>
      </c>
      <c r="F149" s="17">
        <v>30187192.210000001</v>
      </c>
      <c r="G149" s="17">
        <v>28987478.309999999</v>
      </c>
      <c r="H149" s="17">
        <v>26009814.719999999</v>
      </c>
      <c r="I149" s="1">
        <v>23574382.359999999</v>
      </c>
      <c r="J149" s="17">
        <f t="shared" si="36"/>
        <v>26009814.719999999</v>
      </c>
      <c r="K149" s="1">
        <f t="shared" si="37"/>
        <v>9.3635129131746453</v>
      </c>
      <c r="L149" s="16"/>
      <c r="M149" s="105"/>
      <c r="N149" s="16"/>
      <c r="O149" s="104"/>
      <c r="P149" s="104"/>
      <c r="Q149" s="16"/>
      <c r="V149" s="47">
        <f t="shared" si="38"/>
        <v>0</v>
      </c>
    </row>
    <row r="150" spans="1:24" ht="15.6" x14ac:dyDescent="0.3">
      <c r="A150" s="13"/>
      <c r="B150" s="1" t="s">
        <v>147</v>
      </c>
      <c r="C150" s="1" t="s">
        <v>175</v>
      </c>
      <c r="D150" s="17">
        <v>32988765.829999998</v>
      </c>
      <c r="E150" s="17">
        <v>31713502.140000001</v>
      </c>
      <c r="F150" s="17">
        <v>30089571.289999999</v>
      </c>
      <c r="G150" s="17">
        <v>23894816.870000001</v>
      </c>
      <c r="H150" s="17">
        <v>24792648.940000001</v>
      </c>
      <c r="I150" s="1">
        <v>22526094.629999999</v>
      </c>
      <c r="J150" s="17">
        <f t="shared" si="36"/>
        <v>24792648.940000001</v>
      </c>
      <c r="K150" s="1">
        <f t="shared" si="37"/>
        <v>9.1420417216620429</v>
      </c>
      <c r="L150" s="16"/>
      <c r="M150" s="106"/>
      <c r="N150" s="16"/>
      <c r="O150" s="104"/>
      <c r="P150" s="104"/>
      <c r="Q150" s="16"/>
      <c r="V150" s="47">
        <f t="shared" si="38"/>
        <v>0</v>
      </c>
    </row>
    <row r="151" spans="1:24" ht="15.6" x14ac:dyDescent="0.3">
      <c r="A151" s="2" t="s">
        <v>135</v>
      </c>
      <c r="B151" s="21" t="s">
        <v>148</v>
      </c>
      <c r="C151" s="1" t="s">
        <v>225</v>
      </c>
      <c r="D151" s="17">
        <v>32770227.68</v>
      </c>
      <c r="E151" s="17">
        <v>30045391.120000005</v>
      </c>
      <c r="F151" s="17">
        <v>28826716.32</v>
      </c>
      <c r="G151" s="17">
        <v>22574331.095999993</v>
      </c>
      <c r="H151" s="17">
        <v>23546634.488000005</v>
      </c>
      <c r="I151" s="1">
        <v>22296252.239999998</v>
      </c>
      <c r="J151" s="17">
        <f t="shared" si="36"/>
        <v>23546634.488000005</v>
      </c>
      <c r="K151" s="1">
        <f t="shared" si="37"/>
        <v>5.3102376419748447</v>
      </c>
      <c r="L151" s="16"/>
      <c r="M151" s="106"/>
      <c r="N151" s="16"/>
      <c r="O151" s="104"/>
      <c r="P151" s="104"/>
      <c r="Q151" s="16"/>
      <c r="V151" s="47">
        <f t="shared" si="38"/>
        <v>0</v>
      </c>
    </row>
    <row r="152" spans="1:24" ht="15.6" x14ac:dyDescent="0.3">
      <c r="A152" s="13" t="s">
        <v>136</v>
      </c>
      <c r="B152" s="21" t="s">
        <v>149</v>
      </c>
      <c r="C152" s="1" t="s">
        <v>226</v>
      </c>
      <c r="D152" s="17">
        <v>31781409.335999999</v>
      </c>
      <c r="E152" s="17">
        <v>29018456.952000003</v>
      </c>
      <c r="F152" s="17">
        <v>23904977.280000001</v>
      </c>
      <c r="G152" s="17">
        <v>24557871.024000008</v>
      </c>
      <c r="H152" s="17">
        <v>22710128.848000001</v>
      </c>
      <c r="I152" s="1">
        <v>21677777.93</v>
      </c>
      <c r="J152" s="17">
        <f t="shared" si="36"/>
        <v>22710128.848000001</v>
      </c>
      <c r="K152" s="1">
        <f t="shared" si="37"/>
        <v>4.5457730553163147</v>
      </c>
      <c r="L152" s="16"/>
      <c r="M152" s="106"/>
      <c r="N152" s="16"/>
      <c r="O152" s="104"/>
      <c r="P152" s="104"/>
      <c r="Q152" s="16"/>
      <c r="V152" s="47">
        <f t="shared" si="38"/>
        <v>0</v>
      </c>
    </row>
    <row r="153" spans="1:24" ht="15.6" x14ac:dyDescent="0.3">
      <c r="A153" s="13"/>
      <c r="B153" s="22" t="s">
        <v>29</v>
      </c>
      <c r="C153" s="1" t="s">
        <v>227</v>
      </c>
      <c r="D153" s="17">
        <v>23174758.050000001</v>
      </c>
      <c r="E153" s="17">
        <v>30251428.73</v>
      </c>
      <c r="F153" s="17">
        <v>29853482.469999999</v>
      </c>
      <c r="G153" s="17">
        <v>29008793.579999998</v>
      </c>
      <c r="H153" s="17">
        <v>25031135.780000001</v>
      </c>
      <c r="I153" s="1">
        <v>23560275.969999999</v>
      </c>
      <c r="J153" s="17">
        <f t="shared" si="36"/>
        <v>25031135.780000001</v>
      </c>
      <c r="K153" s="1">
        <f t="shared" si="37"/>
        <v>5.8761209356517758</v>
      </c>
      <c r="L153" s="16"/>
      <c r="M153" s="105"/>
      <c r="N153" s="16"/>
      <c r="O153" s="104"/>
      <c r="P153" s="104"/>
      <c r="Q153" s="16"/>
      <c r="V153" s="47">
        <f t="shared" si="38"/>
        <v>0</v>
      </c>
    </row>
    <row r="154" spans="1:24" ht="15.6" x14ac:dyDescent="0.3">
      <c r="A154" s="7"/>
      <c r="B154" s="21"/>
      <c r="C154" s="1"/>
      <c r="D154" s="17"/>
      <c r="E154" s="17"/>
      <c r="F154" s="17"/>
      <c r="G154" s="17"/>
      <c r="H154" s="17"/>
      <c r="I154" s="1"/>
      <c r="J154" s="37" t="s">
        <v>35</v>
      </c>
      <c r="K154" s="37">
        <f>SUM(K140:K153)/14</f>
        <v>6.7431021036369847</v>
      </c>
      <c r="L154" s="16"/>
      <c r="M154" s="101"/>
      <c r="N154" s="16"/>
      <c r="O154" s="16"/>
      <c r="P154" s="29"/>
      <c r="Q154" s="29"/>
      <c r="R154" s="36" t="s">
        <v>58</v>
      </c>
      <c r="S154" t="e">
        <f>SQRT(SUMXMY2(O140:O153, P140:P153) / COUNT(P140:P153))</f>
        <v>#DIV/0!</v>
      </c>
      <c r="T154" s="36" t="s">
        <v>59</v>
      </c>
      <c r="U154" s="36" t="e">
        <f>RSQ(O140:O153,P140:P153)</f>
        <v>#DIV/0!</v>
      </c>
      <c r="V154" s="36" t="s">
        <v>60</v>
      </c>
      <c r="W154" s="36">
        <f t="array" ref="W154">AVERAGE(ABS(V140:V153))</f>
        <v>0</v>
      </c>
      <c r="X154" s="36" t="e" cm="1">
        <f t="array" ref="X154">SUMPRODUCT(ABS(O140:O153 - P140:P153)) / COUNT(O140:O153)</f>
        <v>#DIV/0!</v>
      </c>
    </row>
    <row r="155" spans="1:24" ht="15.6" x14ac:dyDescent="0.3">
      <c r="A155" s="16"/>
      <c r="B155" s="16"/>
      <c r="C155" s="16"/>
      <c r="D155" s="33"/>
      <c r="E155" s="33"/>
      <c r="F155" s="33"/>
      <c r="G155" s="33"/>
      <c r="H155" s="33"/>
      <c r="I155" s="16"/>
      <c r="J155" s="16"/>
      <c r="K155" s="16"/>
      <c r="L155" s="16"/>
      <c r="M155" s="101"/>
      <c r="N155" s="16"/>
      <c r="O155" s="16"/>
      <c r="P155" s="29"/>
      <c r="Q155" s="29"/>
      <c r="R155" s="36"/>
      <c r="T155" s="36"/>
      <c r="U155" s="36"/>
      <c r="V155" s="36"/>
      <c r="W155" s="36"/>
      <c r="X155" s="36"/>
    </row>
    <row r="156" spans="1:24" ht="15.6" x14ac:dyDescent="0.3">
      <c r="A156" s="34" t="s">
        <v>248</v>
      </c>
      <c r="B156" s="16"/>
      <c r="C156" s="16"/>
      <c r="D156" s="33"/>
      <c r="E156" s="33"/>
      <c r="F156" s="33"/>
      <c r="G156" s="33"/>
      <c r="H156" s="33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1:24" ht="15.6" x14ac:dyDescent="0.3">
      <c r="A157" s="2" t="s">
        <v>123</v>
      </c>
      <c r="B157" s="2" t="s">
        <v>124</v>
      </c>
      <c r="C157" s="3" t="s">
        <v>125</v>
      </c>
      <c r="D157" s="107" t="s">
        <v>126</v>
      </c>
      <c r="E157" s="108"/>
      <c r="F157" s="108"/>
      <c r="G157" s="108"/>
      <c r="H157" s="108"/>
      <c r="I157" s="19" t="s">
        <v>254</v>
      </c>
      <c r="J157" s="6" t="s">
        <v>4</v>
      </c>
      <c r="K157" s="5" t="s">
        <v>5</v>
      </c>
      <c r="L157" s="169"/>
      <c r="M157" s="81"/>
      <c r="N157" s="82"/>
      <c r="O157" s="80"/>
      <c r="P157" s="81"/>
      <c r="Q157" s="81"/>
    </row>
    <row r="158" spans="1:24" ht="15.6" x14ac:dyDescent="0.3">
      <c r="A158" s="7"/>
      <c r="B158" s="7"/>
      <c r="C158" s="8"/>
      <c r="D158" s="9" t="s">
        <v>127</v>
      </c>
      <c r="E158" s="9" t="s">
        <v>128</v>
      </c>
      <c r="F158" s="9" t="s">
        <v>129</v>
      </c>
      <c r="G158" s="9" t="s">
        <v>130</v>
      </c>
      <c r="H158" s="9" t="s">
        <v>131</v>
      </c>
      <c r="I158" s="20" t="s">
        <v>255</v>
      </c>
      <c r="J158" s="12" t="s">
        <v>52</v>
      </c>
      <c r="K158" s="10" t="s">
        <v>6</v>
      </c>
      <c r="L158" s="169"/>
      <c r="M158" s="81"/>
      <c r="N158" s="82"/>
      <c r="O158" s="80"/>
      <c r="P158" s="81"/>
      <c r="Q158" s="81"/>
    </row>
    <row r="159" spans="1:24" ht="15.6" x14ac:dyDescent="0.3">
      <c r="A159" s="2" t="s">
        <v>132</v>
      </c>
      <c r="B159" s="1" t="s">
        <v>137</v>
      </c>
      <c r="C159" s="1" t="s">
        <v>215</v>
      </c>
      <c r="D159" s="17">
        <v>31962075.063999999</v>
      </c>
      <c r="E159" s="17">
        <v>31389832.191999998</v>
      </c>
      <c r="F159" s="17">
        <v>30887111.496000003</v>
      </c>
      <c r="G159" s="17">
        <v>27674658.719999999</v>
      </c>
      <c r="H159" s="17">
        <v>25001165.223999992</v>
      </c>
      <c r="I159" s="1">
        <v>24548994.079999998</v>
      </c>
      <c r="J159" s="17">
        <f>H159</f>
        <v>25001165.223999992</v>
      </c>
      <c r="K159" s="1">
        <f>ABS((I159-J159)/J159)*100</f>
        <v>1.8086002790219147</v>
      </c>
      <c r="L159" s="16"/>
      <c r="M159" s="103"/>
      <c r="N159" s="16"/>
      <c r="O159" s="104"/>
      <c r="P159" s="104"/>
      <c r="Q159" s="16"/>
      <c r="V159" s="47">
        <f>(O159-P159)</f>
        <v>0</v>
      </c>
    </row>
    <row r="160" spans="1:24" ht="15.6" x14ac:dyDescent="0.3">
      <c r="A160" s="7"/>
      <c r="B160" s="1" t="s">
        <v>138</v>
      </c>
      <c r="C160" s="1" t="s">
        <v>216</v>
      </c>
      <c r="D160" s="17">
        <v>27235140.030000001</v>
      </c>
      <c r="E160" s="17">
        <v>28261723.059999999</v>
      </c>
      <c r="F160" s="17">
        <v>29261317.649999999</v>
      </c>
      <c r="G160" s="17">
        <v>25243722.100000001</v>
      </c>
      <c r="H160" s="17">
        <v>24512817.800000001</v>
      </c>
      <c r="I160" s="1">
        <v>23677098.629999999</v>
      </c>
      <c r="J160" s="17">
        <f t="shared" ref="J160:J172" si="39">H160</f>
        <v>24512817.800000001</v>
      </c>
      <c r="K160" s="1">
        <f t="shared" ref="K160:K172" si="40">ABS((I160-J160)/J160)*100</f>
        <v>3.4093149829555776</v>
      </c>
      <c r="L160" s="16"/>
      <c r="M160" s="105"/>
      <c r="N160" s="16"/>
      <c r="O160" s="104"/>
      <c r="P160" s="104"/>
      <c r="Q160" s="16"/>
      <c r="V160" s="47">
        <f t="shared" ref="V160:V172" si="41">(O160-P160)</f>
        <v>0</v>
      </c>
    </row>
    <row r="161" spans="1:24" ht="15.6" x14ac:dyDescent="0.3">
      <c r="A161" s="2" t="s">
        <v>133</v>
      </c>
      <c r="B161" s="1" t="s">
        <v>139</v>
      </c>
      <c r="C161" s="1" t="s">
        <v>217</v>
      </c>
      <c r="D161" s="17">
        <v>31957263.199999999</v>
      </c>
      <c r="E161" s="17">
        <v>31021032.050000001</v>
      </c>
      <c r="F161" s="17">
        <v>30016114.25</v>
      </c>
      <c r="G161" s="17">
        <v>25024126.18</v>
      </c>
      <c r="H161" s="17">
        <v>24126175.350000001</v>
      </c>
      <c r="I161" s="1">
        <v>22238513.620000001</v>
      </c>
      <c r="J161" s="17">
        <f t="shared" si="39"/>
        <v>24126175.350000001</v>
      </c>
      <c r="K161" s="1">
        <f t="shared" si="40"/>
        <v>7.8241233955053735</v>
      </c>
      <c r="L161" s="16"/>
      <c r="M161" s="105"/>
      <c r="N161" s="16"/>
      <c r="O161" s="104"/>
      <c r="P161" s="104"/>
      <c r="Q161" s="16"/>
      <c r="V161" s="47">
        <f t="shared" si="41"/>
        <v>0</v>
      </c>
    </row>
    <row r="162" spans="1:24" ht="15.6" x14ac:dyDescent="0.3">
      <c r="A162" s="13"/>
      <c r="B162" s="1" t="s">
        <v>140</v>
      </c>
      <c r="C162" s="1" t="s">
        <v>218</v>
      </c>
      <c r="D162" s="17">
        <v>30050152.559999999</v>
      </c>
      <c r="E162" s="17">
        <v>26598716.23</v>
      </c>
      <c r="F162" s="17">
        <v>26845795.579999998</v>
      </c>
      <c r="G162" s="17">
        <v>27003129.120000001</v>
      </c>
      <c r="H162" s="17">
        <v>25429718.52</v>
      </c>
      <c r="I162" s="1">
        <v>22494398.309999999</v>
      </c>
      <c r="J162" s="17">
        <f t="shared" si="39"/>
        <v>25429718.52</v>
      </c>
      <c r="K162" s="1">
        <f t="shared" si="40"/>
        <v>11.542873381360577</v>
      </c>
      <c r="L162" s="16"/>
      <c r="M162" s="105"/>
      <c r="N162" s="16"/>
      <c r="O162" s="104"/>
      <c r="P162" s="104"/>
      <c r="Q162" s="16"/>
      <c r="V162" s="47">
        <f t="shared" si="41"/>
        <v>0</v>
      </c>
    </row>
    <row r="163" spans="1:24" ht="15.6" x14ac:dyDescent="0.3">
      <c r="A163" s="13"/>
      <c r="B163" s="1" t="s">
        <v>141</v>
      </c>
      <c r="C163" s="1" t="s">
        <v>219</v>
      </c>
      <c r="D163" s="17">
        <v>30101526.079999998</v>
      </c>
      <c r="E163" s="17">
        <v>28313128.739999998</v>
      </c>
      <c r="F163" s="17">
        <v>28015138.359999999</v>
      </c>
      <c r="G163" s="17">
        <v>24826248.280000001</v>
      </c>
      <c r="H163" s="17">
        <v>24516278.84</v>
      </c>
      <c r="I163" s="1">
        <v>22134216.190000001</v>
      </c>
      <c r="J163" s="17">
        <f t="shared" si="39"/>
        <v>24516278.84</v>
      </c>
      <c r="K163" s="1">
        <f t="shared" si="40"/>
        <v>9.7162488057261722</v>
      </c>
      <c r="L163" s="16"/>
      <c r="M163" s="105"/>
      <c r="N163" s="16"/>
      <c r="O163" s="104"/>
      <c r="P163" s="104"/>
      <c r="Q163" s="16"/>
      <c r="V163" s="47">
        <f t="shared" si="41"/>
        <v>0</v>
      </c>
    </row>
    <row r="164" spans="1:24" ht="15.6" x14ac:dyDescent="0.3">
      <c r="A164" s="13"/>
      <c r="B164" s="1" t="s">
        <v>142</v>
      </c>
      <c r="C164" s="1" t="s">
        <v>220</v>
      </c>
      <c r="D164" s="17">
        <v>22303982.776000001</v>
      </c>
      <c r="E164" s="17">
        <v>29489179.431999993</v>
      </c>
      <c r="F164" s="17">
        <v>31781409.335999999</v>
      </c>
      <c r="G164" s="17">
        <v>29018456.952000003</v>
      </c>
      <c r="H164" s="17">
        <v>23904977.280000001</v>
      </c>
      <c r="I164" s="1">
        <v>24357475.890000001</v>
      </c>
      <c r="J164" s="17">
        <f t="shared" si="39"/>
        <v>23904977.280000001</v>
      </c>
      <c r="K164" s="1">
        <f t="shared" si="40"/>
        <v>1.8929054175616407</v>
      </c>
      <c r="L164" s="16"/>
      <c r="M164" s="106"/>
      <c r="N164" s="16"/>
      <c r="O164" s="104"/>
      <c r="P164" s="104"/>
      <c r="Q164" s="16"/>
      <c r="V164" s="47">
        <f t="shared" si="41"/>
        <v>0</v>
      </c>
    </row>
    <row r="165" spans="1:24" ht="15.6" x14ac:dyDescent="0.3">
      <c r="A165" s="13"/>
      <c r="B165" s="1" t="s">
        <v>143</v>
      </c>
      <c r="C165" s="1" t="s">
        <v>221</v>
      </c>
      <c r="D165" s="17">
        <v>28929860.432</v>
      </c>
      <c r="E165" s="17">
        <v>23254492.015999991</v>
      </c>
      <c r="F165" s="17">
        <v>25535227.792000003</v>
      </c>
      <c r="G165" s="17">
        <v>22107167.400000002</v>
      </c>
      <c r="H165" s="17">
        <v>20221836.344000001</v>
      </c>
      <c r="I165" s="1">
        <v>19682720.219999999</v>
      </c>
      <c r="J165" s="17">
        <f t="shared" si="39"/>
        <v>20221836.344000001</v>
      </c>
      <c r="K165" s="1">
        <f t="shared" si="40"/>
        <v>2.6660097274497145</v>
      </c>
      <c r="L165" s="16"/>
      <c r="M165" s="105"/>
      <c r="N165" s="16"/>
      <c r="O165" s="104"/>
      <c r="P165" s="104"/>
      <c r="Q165" s="16"/>
      <c r="V165" s="47">
        <f t="shared" si="41"/>
        <v>0</v>
      </c>
    </row>
    <row r="166" spans="1:24" ht="15.6" x14ac:dyDescent="0.3">
      <c r="A166" s="13"/>
      <c r="B166" s="1" t="s">
        <v>144</v>
      </c>
      <c r="C166" s="1" t="s">
        <v>222</v>
      </c>
      <c r="D166" s="17">
        <v>23254492.015999991</v>
      </c>
      <c r="E166" s="17">
        <v>25535227.792000003</v>
      </c>
      <c r="F166" s="17">
        <v>22107167.400000002</v>
      </c>
      <c r="G166" s="17">
        <v>20221836.344000001</v>
      </c>
      <c r="H166" s="17">
        <v>20717922.855999995</v>
      </c>
      <c r="I166" s="1">
        <v>19669393.32</v>
      </c>
      <c r="J166" s="17">
        <f t="shared" si="39"/>
        <v>20717922.855999995</v>
      </c>
      <c r="K166" s="1">
        <f t="shared" si="40"/>
        <v>5.0609780878508115</v>
      </c>
      <c r="L166" s="16"/>
      <c r="M166" s="106"/>
      <c r="N166" s="16"/>
      <c r="O166" s="104"/>
      <c r="P166" s="104"/>
      <c r="Q166" s="16"/>
      <c r="V166" s="47">
        <f t="shared" si="41"/>
        <v>0</v>
      </c>
    </row>
    <row r="167" spans="1:24" ht="15.6" x14ac:dyDescent="0.3">
      <c r="A167" s="2" t="s">
        <v>134</v>
      </c>
      <c r="B167" s="1" t="s">
        <v>145</v>
      </c>
      <c r="C167" s="1" t="s">
        <v>223</v>
      </c>
      <c r="D167" s="17">
        <v>33264636.728000011</v>
      </c>
      <c r="E167" s="17">
        <v>31685393.768160004</v>
      </c>
      <c r="F167" s="17">
        <v>32736842.800000008</v>
      </c>
      <c r="G167" s="17">
        <v>31201639.880000003</v>
      </c>
      <c r="H167" s="17">
        <v>25986091.631999992</v>
      </c>
      <c r="I167" s="1">
        <v>25217328.02</v>
      </c>
      <c r="J167" s="17">
        <f t="shared" si="39"/>
        <v>25986091.631999992</v>
      </c>
      <c r="K167" s="1">
        <f t="shared" si="40"/>
        <v>2.9583656630122688</v>
      </c>
      <c r="L167" s="16"/>
      <c r="M167" s="106"/>
      <c r="N167" s="16"/>
      <c r="O167" s="104"/>
      <c r="P167" s="104"/>
      <c r="Q167" s="16"/>
      <c r="V167" s="47">
        <f t="shared" si="41"/>
        <v>0</v>
      </c>
    </row>
    <row r="168" spans="1:24" ht="15.6" x14ac:dyDescent="0.3">
      <c r="A168" s="13"/>
      <c r="B168" s="1" t="s">
        <v>146</v>
      </c>
      <c r="C168" s="1" t="s">
        <v>224</v>
      </c>
      <c r="D168" s="17">
        <v>28258348.390000001</v>
      </c>
      <c r="E168" s="17">
        <v>30515258.920000002</v>
      </c>
      <c r="F168" s="17">
        <v>30187192.210000001</v>
      </c>
      <c r="G168" s="17">
        <v>28987478.309999999</v>
      </c>
      <c r="H168" s="17">
        <v>26009814.719999999</v>
      </c>
      <c r="I168" s="1">
        <v>23503917.449999999</v>
      </c>
      <c r="J168" s="17">
        <f t="shared" si="39"/>
        <v>26009814.719999999</v>
      </c>
      <c r="K168" s="1">
        <f t="shared" si="40"/>
        <v>9.6344295296848603</v>
      </c>
      <c r="L168" s="16"/>
      <c r="M168" s="105"/>
      <c r="N168" s="16"/>
      <c r="O168" s="104"/>
      <c r="P168" s="104"/>
      <c r="Q168" s="16"/>
      <c r="V168" s="47">
        <f t="shared" si="41"/>
        <v>0</v>
      </c>
    </row>
    <row r="169" spans="1:24" ht="15.6" x14ac:dyDescent="0.3">
      <c r="A169" s="13"/>
      <c r="B169" s="1" t="s">
        <v>147</v>
      </c>
      <c r="C169" s="1" t="s">
        <v>175</v>
      </c>
      <c r="D169" s="17">
        <v>32988765.829999998</v>
      </c>
      <c r="E169" s="17">
        <v>31713502.140000001</v>
      </c>
      <c r="F169" s="17">
        <v>30089571.289999999</v>
      </c>
      <c r="G169" s="17">
        <v>23894816.870000001</v>
      </c>
      <c r="H169" s="17">
        <v>24792648.940000001</v>
      </c>
      <c r="I169" s="1">
        <v>22238513.620000001</v>
      </c>
      <c r="J169" s="17">
        <f t="shared" si="39"/>
        <v>24792648.940000001</v>
      </c>
      <c r="K169" s="1">
        <f t="shared" si="40"/>
        <v>10.301986391938964</v>
      </c>
      <c r="L169" s="16"/>
      <c r="M169" s="106"/>
      <c r="N169" s="16"/>
      <c r="O169" s="104"/>
      <c r="P169" s="104"/>
      <c r="Q169" s="16"/>
      <c r="V169" s="47">
        <f t="shared" si="41"/>
        <v>0</v>
      </c>
    </row>
    <row r="170" spans="1:24" ht="15.6" x14ac:dyDescent="0.3">
      <c r="A170" s="2" t="s">
        <v>135</v>
      </c>
      <c r="B170" s="21" t="s">
        <v>148</v>
      </c>
      <c r="C170" s="1" t="s">
        <v>225</v>
      </c>
      <c r="D170" s="17">
        <v>32770227.68</v>
      </c>
      <c r="E170" s="17">
        <v>30045391.120000005</v>
      </c>
      <c r="F170" s="17">
        <v>28826716.32</v>
      </c>
      <c r="G170" s="17">
        <v>22574331.095999993</v>
      </c>
      <c r="H170" s="17">
        <v>23546634.488000005</v>
      </c>
      <c r="I170" s="1">
        <v>20706594.27</v>
      </c>
      <c r="J170" s="17">
        <f t="shared" si="39"/>
        <v>23546634.488000005</v>
      </c>
      <c r="K170" s="1">
        <f t="shared" si="40"/>
        <v>12.061342437057689</v>
      </c>
      <c r="L170" s="16"/>
      <c r="M170" s="106"/>
      <c r="N170" s="16"/>
      <c r="O170" s="104"/>
      <c r="P170" s="104"/>
      <c r="Q170" s="16"/>
      <c r="V170" s="47">
        <f t="shared" si="41"/>
        <v>0</v>
      </c>
    </row>
    <row r="171" spans="1:24" ht="15.6" x14ac:dyDescent="0.3">
      <c r="A171" s="13" t="s">
        <v>136</v>
      </c>
      <c r="B171" s="21" t="s">
        <v>149</v>
      </c>
      <c r="C171" s="1" t="s">
        <v>226</v>
      </c>
      <c r="D171" s="17">
        <v>31781409.335999999</v>
      </c>
      <c r="E171" s="17">
        <v>29018456.952000003</v>
      </c>
      <c r="F171" s="17">
        <v>23904977.280000001</v>
      </c>
      <c r="G171" s="17">
        <v>24557871.024000008</v>
      </c>
      <c r="H171" s="17">
        <v>22710128.848000001</v>
      </c>
      <c r="I171" s="1">
        <v>20820222.5</v>
      </c>
      <c r="J171" s="17">
        <f t="shared" si="39"/>
        <v>22710128.848000001</v>
      </c>
      <c r="K171" s="1">
        <f t="shared" si="40"/>
        <v>8.3218653696297196</v>
      </c>
      <c r="L171" s="16"/>
      <c r="M171" s="106"/>
      <c r="N171" s="16"/>
      <c r="O171" s="104"/>
      <c r="P171" s="104"/>
      <c r="Q171" s="16"/>
      <c r="V171" s="47">
        <f t="shared" si="41"/>
        <v>0</v>
      </c>
    </row>
    <row r="172" spans="1:24" ht="15.6" x14ac:dyDescent="0.3">
      <c r="A172" s="13"/>
      <c r="B172" s="22" t="s">
        <v>29</v>
      </c>
      <c r="C172" s="1" t="s">
        <v>227</v>
      </c>
      <c r="D172" s="17">
        <v>23174758.050000001</v>
      </c>
      <c r="E172" s="17">
        <v>30251428.73</v>
      </c>
      <c r="F172" s="17">
        <v>29853482.469999999</v>
      </c>
      <c r="G172" s="17">
        <v>29008793.579999998</v>
      </c>
      <c r="H172" s="17">
        <v>25031135.780000001</v>
      </c>
      <c r="I172" s="1">
        <v>23793325.829999998</v>
      </c>
      <c r="J172" s="17">
        <f t="shared" si="39"/>
        <v>25031135.780000001</v>
      </c>
      <c r="K172" s="1">
        <f t="shared" si="40"/>
        <v>4.9450810417840456</v>
      </c>
      <c r="L172" s="16"/>
      <c r="M172" s="105"/>
      <c r="N172" s="16"/>
      <c r="O172" s="104"/>
      <c r="P172" s="104"/>
      <c r="Q172" s="16"/>
      <c r="V172" s="47">
        <f t="shared" si="41"/>
        <v>0</v>
      </c>
    </row>
    <row r="173" spans="1:24" ht="15.6" x14ac:dyDescent="0.3">
      <c r="A173" s="7"/>
      <c r="B173" s="21"/>
      <c r="C173" s="1"/>
      <c r="D173" s="17"/>
      <c r="E173" s="17"/>
      <c r="F173" s="17"/>
      <c r="G173" s="17"/>
      <c r="H173" s="17"/>
      <c r="I173" s="1"/>
      <c r="J173" s="37" t="s">
        <v>35</v>
      </c>
      <c r="K173" s="37">
        <f>SUM(K159:K172)/14</f>
        <v>6.5817231793242374</v>
      </c>
      <c r="L173" s="16"/>
      <c r="M173" s="101"/>
      <c r="N173" s="16"/>
      <c r="O173" s="16"/>
      <c r="P173" s="29"/>
      <c r="Q173" s="29"/>
      <c r="R173" s="36" t="s">
        <v>58</v>
      </c>
      <c r="S173" t="e">
        <f>SQRT(SUMXMY2(O159:O172, P159:P172) / COUNT(P159:P172))</f>
        <v>#DIV/0!</v>
      </c>
      <c r="T173" s="36" t="s">
        <v>59</v>
      </c>
      <c r="U173" s="36" t="e">
        <f>RSQ(O159:O172,P159:P172)</f>
        <v>#DIV/0!</v>
      </c>
      <c r="V173" s="36" t="s">
        <v>60</v>
      </c>
      <c r="W173" s="36">
        <f t="array" ref="W173">AVERAGE(ABS(V159:V172))</f>
        <v>0</v>
      </c>
      <c r="X173" s="36" t="e" cm="1">
        <f t="array" ref="X173">SUMPRODUCT(ABS(O159:O172 - P159:P172)) / COUNT(O159:O172)</f>
        <v>#DIV/0!</v>
      </c>
    </row>
    <row r="174" spans="1:24" ht="15.6" x14ac:dyDescent="0.3">
      <c r="A174" s="16"/>
      <c r="B174" s="16"/>
      <c r="C174" s="16"/>
      <c r="D174" s="33"/>
      <c r="E174" s="33"/>
      <c r="F174" s="33"/>
      <c r="G174" s="33"/>
      <c r="H174" s="33"/>
      <c r="I174" s="16"/>
      <c r="J174" s="16"/>
      <c r="K174" s="16"/>
      <c r="L174" s="16"/>
      <c r="M174" s="101"/>
      <c r="N174" s="16"/>
      <c r="O174" s="16"/>
      <c r="P174" s="29"/>
      <c r="Q174" s="29"/>
      <c r="R174" s="36"/>
      <c r="T174" s="36"/>
      <c r="U174" s="36"/>
      <c r="V174" s="36"/>
      <c r="W174" s="36"/>
      <c r="X174" s="36"/>
    </row>
    <row r="175" spans="1:24" x14ac:dyDescent="0.3">
      <c r="N175" s="40" t="s">
        <v>256</v>
      </c>
      <c r="O175" s="40" t="s">
        <v>257</v>
      </c>
      <c r="P175" s="40" t="s">
        <v>252</v>
      </c>
      <c r="Q175" s="40" t="s">
        <v>54</v>
      </c>
      <c r="R175" s="40" t="s">
        <v>118</v>
      </c>
      <c r="S175" s="40" t="s">
        <v>64</v>
      </c>
      <c r="T175" s="40" t="s">
        <v>53</v>
      </c>
      <c r="U175" s="40" t="s">
        <v>114</v>
      </c>
      <c r="V175" s="40" t="s">
        <v>57</v>
      </c>
    </row>
    <row r="176" spans="1:24" ht="15.6" x14ac:dyDescent="0.3">
      <c r="B176" s="1" t="s">
        <v>42</v>
      </c>
      <c r="M176">
        <v>1</v>
      </c>
      <c r="N176" s="47">
        <f>N192</f>
        <v>13.193460457067784</v>
      </c>
      <c r="O176" s="47">
        <f t="shared" ref="O176:V176" si="42">O192</f>
        <v>9.8635194085776128</v>
      </c>
      <c r="P176" s="47">
        <f t="shared" si="42"/>
        <v>6.4661499899744799</v>
      </c>
      <c r="Q176" s="47">
        <f t="shared" si="42"/>
        <v>2.7382839142227282</v>
      </c>
      <c r="R176" s="47">
        <f t="shared" si="42"/>
        <v>2.6756841585503714</v>
      </c>
      <c r="S176" s="47">
        <f t="shared" si="42"/>
        <v>2.6358167129632584</v>
      </c>
      <c r="T176" s="47">
        <f t="shared" si="42"/>
        <v>2.6818498445796171</v>
      </c>
      <c r="U176" s="47">
        <f t="shared" si="42"/>
        <v>2.6163618784049807</v>
      </c>
      <c r="V176" s="47">
        <f t="shared" si="42"/>
        <v>2.6125906335521485</v>
      </c>
    </row>
    <row r="177" spans="2:22" ht="15.6" x14ac:dyDescent="0.3">
      <c r="B177" s="1" t="s">
        <v>43</v>
      </c>
      <c r="M177">
        <v>2</v>
      </c>
      <c r="N177" s="47">
        <f t="shared" ref="N177:V189" si="43">N193</f>
        <v>5.2405910014062904</v>
      </c>
      <c r="O177" s="47">
        <f t="shared" si="43"/>
        <v>7.5668188758548123</v>
      </c>
      <c r="P177" s="47">
        <f t="shared" si="43"/>
        <v>6.1572221634868018</v>
      </c>
      <c r="Q177" s="47">
        <f t="shared" si="43"/>
        <v>5.4122949596579115</v>
      </c>
      <c r="R177" s="47">
        <f t="shared" si="43"/>
        <v>4.6943740150454971</v>
      </c>
      <c r="S177" s="47">
        <f t="shared" si="43"/>
        <v>4.6943740150454971</v>
      </c>
      <c r="T177" s="47">
        <f t="shared" si="43"/>
        <v>4.6943740150454971</v>
      </c>
      <c r="U177" s="47">
        <f t="shared" si="43"/>
        <v>4.6943740150454971</v>
      </c>
      <c r="V177" s="47">
        <f t="shared" si="43"/>
        <v>4.6943740150454971</v>
      </c>
    </row>
    <row r="178" spans="2:22" ht="15.6" x14ac:dyDescent="0.3">
      <c r="B178" s="1" t="s">
        <v>36</v>
      </c>
      <c r="M178">
        <v>3</v>
      </c>
      <c r="N178" s="47">
        <f t="shared" si="43"/>
        <v>10.58050484101423</v>
      </c>
      <c r="O178" s="47">
        <f t="shared" si="43"/>
        <v>11.615926744826391</v>
      </c>
      <c r="P178" s="47">
        <f t="shared" si="43"/>
        <v>10.883615445091069</v>
      </c>
      <c r="Q178" s="47">
        <f t="shared" si="43"/>
        <v>13.801059658977026</v>
      </c>
      <c r="R178" s="47">
        <f t="shared" si="43"/>
        <v>13.801059658977026</v>
      </c>
      <c r="S178" s="47">
        <f t="shared" si="43"/>
        <v>13.801059658977026</v>
      </c>
      <c r="T178" s="47">
        <f t="shared" si="43"/>
        <v>13.801059658977026</v>
      </c>
      <c r="U178" s="47">
        <f t="shared" si="43"/>
        <v>13.801059658977026</v>
      </c>
      <c r="V178" s="47">
        <f t="shared" si="43"/>
        <v>13.801059658977026</v>
      </c>
    </row>
    <row r="179" spans="2:22" ht="15.6" x14ac:dyDescent="0.3">
      <c r="B179" s="1" t="s">
        <v>44</v>
      </c>
      <c r="M179">
        <v>4</v>
      </c>
      <c r="N179" s="47">
        <f t="shared" si="43"/>
        <v>7.0837007382190116</v>
      </c>
      <c r="O179" s="47">
        <f t="shared" si="43"/>
        <v>7.9077005832747549</v>
      </c>
      <c r="P179" s="47">
        <f t="shared" si="43"/>
        <v>10.430341952717253</v>
      </c>
      <c r="Q179" s="47">
        <f t="shared" si="43"/>
        <v>5.0800249234081907</v>
      </c>
      <c r="R179" s="47">
        <f t="shared" si="43"/>
        <v>5.0800249234081907</v>
      </c>
      <c r="S179" s="47">
        <f t="shared" si="43"/>
        <v>5.0747020254406561</v>
      </c>
      <c r="T179" s="47">
        <f t="shared" si="43"/>
        <v>5.0514550832966982</v>
      </c>
      <c r="U179" s="47">
        <f t="shared" si="43"/>
        <v>5.0723121528837947</v>
      </c>
      <c r="V179" s="47">
        <f t="shared" si="43"/>
        <v>5.07290962102301</v>
      </c>
    </row>
    <row r="180" spans="2:22" ht="15.6" x14ac:dyDescent="0.3">
      <c r="B180" s="1" t="s">
        <v>45</v>
      </c>
      <c r="M180">
        <v>5</v>
      </c>
      <c r="N180" s="47">
        <f t="shared" si="43"/>
        <v>5.2832158153099513</v>
      </c>
      <c r="O180" s="47">
        <f t="shared" si="43"/>
        <v>6.7619963458157413</v>
      </c>
      <c r="P180" s="47">
        <f t="shared" si="43"/>
        <v>6.37473972493469</v>
      </c>
      <c r="Q180" s="47">
        <f t="shared" si="43"/>
        <v>6.8339426791132176</v>
      </c>
      <c r="R180" s="47">
        <f t="shared" si="43"/>
        <v>6.8263414493074297</v>
      </c>
      <c r="S180" s="47">
        <f t="shared" si="43"/>
        <v>6.8263414493074297</v>
      </c>
      <c r="T180" s="47">
        <f t="shared" si="43"/>
        <v>6.8263414493074297</v>
      </c>
      <c r="U180" s="47">
        <f t="shared" si="43"/>
        <v>6.8263414493074297</v>
      </c>
      <c r="V180" s="47">
        <f t="shared" si="43"/>
        <v>6.8263414493074297</v>
      </c>
    </row>
    <row r="181" spans="2:22" ht="15.6" x14ac:dyDescent="0.3">
      <c r="B181" s="1" t="s">
        <v>37</v>
      </c>
      <c r="M181">
        <v>6</v>
      </c>
      <c r="N181" s="47">
        <f t="shared" si="43"/>
        <v>3.3770130524485071</v>
      </c>
      <c r="O181" s="47">
        <f t="shared" si="43"/>
        <v>2.7665806675603211</v>
      </c>
      <c r="P181" s="47">
        <f t="shared" si="43"/>
        <v>4.2697704923964501</v>
      </c>
      <c r="Q181" s="47">
        <f t="shared" si="43"/>
        <v>1.0209236977764955</v>
      </c>
      <c r="R181" s="47">
        <f t="shared" si="43"/>
        <v>1.2765602771399589</v>
      </c>
      <c r="S181" s="47">
        <f t="shared" si="43"/>
        <v>1.2765602771399589</v>
      </c>
      <c r="T181" s="47">
        <f t="shared" si="43"/>
        <v>1.2765602771399589</v>
      </c>
      <c r="U181" s="47">
        <f t="shared" si="43"/>
        <v>1.2765602771399589</v>
      </c>
      <c r="V181" s="47">
        <f t="shared" si="43"/>
        <v>1.1011118647716693</v>
      </c>
    </row>
    <row r="182" spans="2:22" ht="15.6" x14ac:dyDescent="0.3">
      <c r="B182" s="1" t="s">
        <v>39</v>
      </c>
      <c r="M182">
        <v>7</v>
      </c>
      <c r="N182" s="47">
        <f t="shared" si="43"/>
        <v>17.452798122614922</v>
      </c>
      <c r="O182" s="47">
        <f t="shared" si="43"/>
        <v>16.006880842284716</v>
      </c>
      <c r="P182" s="47">
        <f t="shared" si="43"/>
        <v>13.672412783089895</v>
      </c>
      <c r="Q182" s="47">
        <f t="shared" si="43"/>
        <v>12.499825216557463</v>
      </c>
      <c r="R182" s="47">
        <f t="shared" si="43"/>
        <v>12.499825216557463</v>
      </c>
      <c r="S182" s="47">
        <f t="shared" si="43"/>
        <v>12.499825216557463</v>
      </c>
      <c r="T182" s="47">
        <f t="shared" si="43"/>
        <v>12.499825216557463</v>
      </c>
      <c r="U182" s="47">
        <f t="shared" si="43"/>
        <v>12.499825216557463</v>
      </c>
      <c r="V182" s="47">
        <f t="shared" si="43"/>
        <v>12.499825216557463</v>
      </c>
    </row>
    <row r="183" spans="2:22" ht="15.6" x14ac:dyDescent="0.3">
      <c r="B183" s="1" t="s">
        <v>38</v>
      </c>
      <c r="M183">
        <v>8</v>
      </c>
      <c r="N183" s="47">
        <f t="shared" si="43"/>
        <v>11.289365312627439</v>
      </c>
      <c r="O183" s="47">
        <f t="shared" si="43"/>
        <v>7.6237258242551578</v>
      </c>
      <c r="P183" s="47">
        <f t="shared" si="43"/>
        <v>7.424979133898538</v>
      </c>
      <c r="Q183" s="47">
        <f t="shared" si="43"/>
        <v>3.8499419209159527</v>
      </c>
      <c r="R183" s="47">
        <f t="shared" si="43"/>
        <v>3.8499419209159527</v>
      </c>
      <c r="S183" s="47">
        <f t="shared" si="43"/>
        <v>3.8499419209159527</v>
      </c>
      <c r="T183" s="47">
        <f t="shared" si="43"/>
        <v>3.8499419209159527</v>
      </c>
      <c r="U183" s="47">
        <f t="shared" si="43"/>
        <v>3.8499419209159527</v>
      </c>
      <c r="V183" s="47">
        <f t="shared" si="43"/>
        <v>3.8499419209159527</v>
      </c>
    </row>
    <row r="184" spans="2:22" ht="15.6" x14ac:dyDescent="0.3">
      <c r="B184" s="1" t="s">
        <v>46</v>
      </c>
      <c r="M184">
        <v>9</v>
      </c>
      <c r="N184" s="47">
        <f t="shared" si="43"/>
        <v>10.852436149733279</v>
      </c>
      <c r="O184" s="47">
        <f t="shared" si="43"/>
        <v>10.131131394180969</v>
      </c>
      <c r="P184" s="47">
        <f t="shared" si="43"/>
        <v>7.5998991884145877</v>
      </c>
      <c r="Q184" s="47">
        <f t="shared" si="43"/>
        <v>6.220262582210812</v>
      </c>
      <c r="R184" s="47">
        <f t="shared" si="43"/>
        <v>6.3546139748750337</v>
      </c>
      <c r="S184" s="47">
        <f t="shared" si="43"/>
        <v>6.3752595742092213</v>
      </c>
      <c r="T184" s="47">
        <f t="shared" si="43"/>
        <v>6.354303980891034</v>
      </c>
      <c r="U184" s="47">
        <f t="shared" si="43"/>
        <v>6.358333902682995</v>
      </c>
      <c r="V184" s="47">
        <f t="shared" si="43"/>
        <v>6.3488480867726915</v>
      </c>
    </row>
    <row r="185" spans="2:22" ht="15.6" x14ac:dyDescent="0.3">
      <c r="B185" s="1" t="s">
        <v>47</v>
      </c>
      <c r="M185">
        <v>10</v>
      </c>
      <c r="N185" s="47">
        <f t="shared" si="43"/>
        <v>9.2170807545391984</v>
      </c>
      <c r="O185" s="47">
        <f t="shared" si="43"/>
        <v>5.1826427565490709</v>
      </c>
      <c r="P185" s="47">
        <f t="shared" si="43"/>
        <v>6.5567294104655112</v>
      </c>
      <c r="Q185" s="47">
        <f t="shared" si="43"/>
        <v>3.5345402606851057</v>
      </c>
      <c r="R185" s="47">
        <f t="shared" si="43"/>
        <v>3.2951107535547637</v>
      </c>
      <c r="S185" s="47">
        <f t="shared" si="43"/>
        <v>3.3220310795944039</v>
      </c>
      <c r="T185" s="47">
        <f t="shared" si="43"/>
        <v>3.2906347089376164</v>
      </c>
      <c r="U185" s="47">
        <f t="shared" si="43"/>
        <v>3.2478176679173658</v>
      </c>
      <c r="V185" s="47">
        <f t="shared" si="43"/>
        <v>3.2231707567897834</v>
      </c>
    </row>
    <row r="186" spans="2:22" ht="15.6" x14ac:dyDescent="0.3">
      <c r="B186" s="1" t="s">
        <v>48</v>
      </c>
      <c r="M186">
        <v>11</v>
      </c>
      <c r="N186" s="47">
        <f t="shared" si="43"/>
        <v>4.2260420972636208</v>
      </c>
      <c r="O186" s="47">
        <f t="shared" si="43"/>
        <v>6.804986006481518</v>
      </c>
      <c r="P186" s="47">
        <f t="shared" si="43"/>
        <v>10.311485092377328</v>
      </c>
      <c r="Q186" s="47">
        <f t="shared" si="43"/>
        <v>8.226330724462418</v>
      </c>
      <c r="R186" s="47">
        <f t="shared" si="43"/>
        <v>8.226330724462418</v>
      </c>
      <c r="S186" s="47">
        <f t="shared" si="43"/>
        <v>8.226330724462418</v>
      </c>
      <c r="T186" s="47">
        <f t="shared" si="43"/>
        <v>8.226330724462418</v>
      </c>
      <c r="U186" s="47">
        <f t="shared" si="43"/>
        <v>8.226330724462418</v>
      </c>
      <c r="V186" s="47">
        <f t="shared" si="43"/>
        <v>8.226330724462418</v>
      </c>
    </row>
    <row r="187" spans="2:22" ht="15.6" x14ac:dyDescent="0.3">
      <c r="B187" s="21" t="s">
        <v>49</v>
      </c>
      <c r="M187">
        <v>12</v>
      </c>
      <c r="N187" s="47">
        <f t="shared" si="43"/>
        <v>2.8506028910196037</v>
      </c>
      <c r="O187" s="47">
        <f t="shared" si="43"/>
        <v>5.1059712563272308</v>
      </c>
      <c r="P187" s="47">
        <f t="shared" si="43"/>
        <v>10.746737897060052</v>
      </c>
      <c r="Q187" s="47">
        <f t="shared" si="43"/>
        <v>5.8269080848370658</v>
      </c>
      <c r="R187" s="47">
        <f t="shared" si="43"/>
        <v>5.9424143736722979</v>
      </c>
      <c r="S187" s="47">
        <f t="shared" si="43"/>
        <v>5.9510242912652611</v>
      </c>
      <c r="T187" s="47">
        <f t="shared" si="43"/>
        <v>5.8786282236173522</v>
      </c>
      <c r="U187" s="47">
        <f t="shared" si="43"/>
        <v>5.9449003357942063</v>
      </c>
      <c r="V187" s="47">
        <f t="shared" si="43"/>
        <v>5.9244063065940491</v>
      </c>
    </row>
    <row r="188" spans="2:22" ht="15.6" x14ac:dyDescent="0.3">
      <c r="B188" s="21" t="s">
        <v>50</v>
      </c>
      <c r="M188">
        <v>13</v>
      </c>
      <c r="N188" s="47">
        <f t="shared" si="43"/>
        <v>9.7709383722012912</v>
      </c>
      <c r="O188" s="47">
        <f t="shared" si="43"/>
        <v>12.048558985431374</v>
      </c>
      <c r="P188" s="47">
        <f t="shared" si="43"/>
        <v>15.652299839560756</v>
      </c>
      <c r="Q188" s="47">
        <f t="shared" si="43"/>
        <v>10.176423015285831</v>
      </c>
      <c r="R188" s="47">
        <f t="shared" si="43"/>
        <v>9.6890496030850262</v>
      </c>
      <c r="S188" s="47">
        <f t="shared" si="43"/>
        <v>9.6890496030850262</v>
      </c>
      <c r="T188" s="47">
        <f t="shared" si="43"/>
        <v>9.6890496030850262</v>
      </c>
      <c r="U188" s="47">
        <f t="shared" si="43"/>
        <v>9.6890496030850262</v>
      </c>
      <c r="V188" s="47">
        <f t="shared" si="43"/>
        <v>9.6890496030850262</v>
      </c>
    </row>
    <row r="189" spans="2:22" ht="15.6" x14ac:dyDescent="0.3">
      <c r="B189" s="22" t="s">
        <v>40</v>
      </c>
      <c r="M189">
        <v>14</v>
      </c>
      <c r="N189" s="47">
        <f t="shared" si="43"/>
        <v>3.635124816433235</v>
      </c>
      <c r="O189" s="47">
        <f t="shared" si="43"/>
        <v>7.0042807942819643</v>
      </c>
      <c r="P189" s="47">
        <f t="shared" si="43"/>
        <v>9.2710803571276479</v>
      </c>
      <c r="Q189" s="47">
        <f t="shared" si="43"/>
        <v>8.107924191495643</v>
      </c>
      <c r="R189" s="47">
        <f t="shared" si="43"/>
        <v>8.360029083299473</v>
      </c>
      <c r="S189" s="47">
        <f t="shared" si="43"/>
        <v>8.360029083299473</v>
      </c>
      <c r="T189" s="47">
        <f t="shared" si="43"/>
        <v>8.360029083299473</v>
      </c>
      <c r="U189" s="47">
        <f t="shared" si="43"/>
        <v>8.360029083299473</v>
      </c>
      <c r="V189" s="47">
        <f t="shared" si="43"/>
        <v>8.2862422856983571</v>
      </c>
    </row>
    <row r="190" spans="2:22" ht="15.6" x14ac:dyDescent="0.3">
      <c r="B190" s="1" t="s">
        <v>35</v>
      </c>
    </row>
    <row r="192" spans="2:22" x14ac:dyDescent="0.3">
      <c r="M192">
        <v>1</v>
      </c>
      <c r="N192">
        <f>('2023a'!K121+'2024a'!K121)/2</f>
        <v>13.193460457067784</v>
      </c>
      <c r="O192">
        <f>('2023a'!K140+'2024a'!K140)/2</f>
        <v>9.8635194085776128</v>
      </c>
      <c r="P192">
        <f>('2023a'!K159+'2024a'!K159)/2</f>
        <v>6.4661499899744799</v>
      </c>
      <c r="Q192">
        <f>('2023a'!Q6+'2024a'!Q6)/2</f>
        <v>2.7382839142227282</v>
      </c>
      <c r="R192">
        <f>('2023a'!Q25+'2024a'!Q25)/2</f>
        <v>2.6756841585503714</v>
      </c>
      <c r="S192">
        <f>('2023a'!Q44+'2024a'!Q44)/2</f>
        <v>2.6358167129632584</v>
      </c>
      <c r="T192">
        <f>('2023a'!Q63+'2024a'!Q63)/2</f>
        <v>2.6818498445796171</v>
      </c>
      <c r="U192">
        <f>('2023a'!Q82+'2024a'!Q82)/2</f>
        <v>2.6163618784049807</v>
      </c>
      <c r="V192">
        <f>('2023a'!Q102+'2024a'!Q102)/2</f>
        <v>2.6125906335521485</v>
      </c>
    </row>
    <row r="193" spans="13:22" x14ac:dyDescent="0.3">
      <c r="M193">
        <v>2</v>
      </c>
      <c r="N193">
        <f>('2023a'!K122+'2024a'!K122)/2</f>
        <v>5.2405910014062904</v>
      </c>
      <c r="O193">
        <f>('2023a'!K141+'2024a'!K141)/2</f>
        <v>7.5668188758548123</v>
      </c>
      <c r="P193">
        <f>('2023a'!K160+'2024a'!K160)/2</f>
        <v>6.1572221634868018</v>
      </c>
      <c r="Q193">
        <f>('2023a'!Q7+'2024a'!Q7)/2</f>
        <v>5.4122949596579115</v>
      </c>
      <c r="R193">
        <f>('2023a'!Q26+'2024a'!Q26)/2</f>
        <v>4.6943740150454971</v>
      </c>
      <c r="S193">
        <f>('2023a'!Q45+'2024a'!Q45)/2</f>
        <v>4.6943740150454971</v>
      </c>
      <c r="T193">
        <f>('2023a'!Q64+'2024a'!Q64)/2</f>
        <v>4.6943740150454971</v>
      </c>
      <c r="U193">
        <f>('2023a'!Q83+'2024a'!Q83)/2</f>
        <v>4.6943740150454971</v>
      </c>
      <c r="V193">
        <f>('2023a'!Q103+'2024a'!Q103)/2</f>
        <v>4.6943740150454971</v>
      </c>
    </row>
    <row r="194" spans="13:22" x14ac:dyDescent="0.3">
      <c r="M194">
        <v>3</v>
      </c>
      <c r="N194">
        <f>('2023a'!K123+'2024a'!K123)/2</f>
        <v>10.58050484101423</v>
      </c>
      <c r="O194">
        <f>('2023a'!K142+'2024a'!K142)/2</f>
        <v>11.615926744826391</v>
      </c>
      <c r="P194">
        <f>('2023a'!K161+'2024a'!K161)/2</f>
        <v>10.883615445091069</v>
      </c>
      <c r="Q194">
        <f>('2023a'!Q8+'2024a'!Q8)/2</f>
        <v>13.801059658977026</v>
      </c>
      <c r="R194">
        <f>('2023a'!Q27+'2024a'!Q27)/2</f>
        <v>13.801059658977026</v>
      </c>
      <c r="S194">
        <f>('2023a'!Q46+'2024a'!Q46)/2</f>
        <v>13.801059658977026</v>
      </c>
      <c r="T194">
        <f>('2023a'!Q65+'2024a'!Q65)/2</f>
        <v>13.801059658977026</v>
      </c>
      <c r="U194">
        <f>('2023a'!Q84+'2024a'!Q84)/2</f>
        <v>13.801059658977026</v>
      </c>
      <c r="V194">
        <f>('2023a'!Q104+'2024a'!Q104)/2</f>
        <v>13.801059658977026</v>
      </c>
    </row>
    <row r="195" spans="13:22" x14ac:dyDescent="0.3">
      <c r="M195">
        <v>4</v>
      </c>
      <c r="N195">
        <f>('2023a'!K124+'2024a'!K124)/2</f>
        <v>7.0837007382190116</v>
      </c>
      <c r="O195">
        <f>('2023a'!K143+'2024a'!K143)/2</f>
        <v>7.9077005832747549</v>
      </c>
      <c r="P195">
        <f>('2023a'!K162+'2024a'!K162)/2</f>
        <v>10.430341952717253</v>
      </c>
      <c r="Q195">
        <f>('2023a'!Q9+'2024a'!Q9)/2</f>
        <v>5.0800249234081907</v>
      </c>
      <c r="R195">
        <f>('2023a'!Q28+'2024a'!Q28)/2</f>
        <v>5.0800249234081907</v>
      </c>
      <c r="S195">
        <f>('2023a'!Q47+'2024a'!Q47)/2</f>
        <v>5.0747020254406561</v>
      </c>
      <c r="T195">
        <f>('2023a'!Q66+'2024a'!Q66)/2</f>
        <v>5.0514550832966982</v>
      </c>
      <c r="U195">
        <f>('2023a'!Q85+'2024a'!Q85)/2</f>
        <v>5.0723121528837947</v>
      </c>
      <c r="V195">
        <f>('2023a'!Q105+'2024a'!Q105)/2</f>
        <v>5.07290962102301</v>
      </c>
    </row>
    <row r="196" spans="13:22" x14ac:dyDescent="0.3">
      <c r="M196">
        <v>5</v>
      </c>
      <c r="N196">
        <f>('2023a'!K125+'2024a'!K125)/2</f>
        <v>5.2832158153099513</v>
      </c>
      <c r="O196">
        <f>('2023a'!K144+'2024a'!K144)/2</f>
        <v>6.7619963458157413</v>
      </c>
      <c r="P196">
        <f>('2023a'!K163+'2024a'!K163)/2</f>
        <v>6.37473972493469</v>
      </c>
      <c r="Q196">
        <f>('2023a'!Q10+'2024a'!Q10)/2</f>
        <v>6.8339426791132176</v>
      </c>
      <c r="R196">
        <f>('2023a'!Q29+'2024a'!Q29)/2</f>
        <v>6.8263414493074297</v>
      </c>
      <c r="S196">
        <f>('2023a'!Q48+'2024a'!Q48)/2</f>
        <v>6.8263414493074297</v>
      </c>
      <c r="T196">
        <f>('2023a'!Q67+'2024a'!Q67)/2</f>
        <v>6.8263414493074297</v>
      </c>
      <c r="U196">
        <f>('2023a'!Q86+'2024a'!Q86)/2</f>
        <v>6.8263414493074297</v>
      </c>
      <c r="V196">
        <f>('2023a'!Q106+'2024a'!Q106)/2</f>
        <v>6.8263414493074297</v>
      </c>
    </row>
    <row r="197" spans="13:22" x14ac:dyDescent="0.3">
      <c r="M197">
        <v>6</v>
      </c>
      <c r="N197">
        <f>('2023a'!K126+'2024a'!K126)/2</f>
        <v>3.3770130524485071</v>
      </c>
      <c r="O197">
        <f>('2023a'!K145+'2024a'!K145)/2</f>
        <v>2.7665806675603211</v>
      </c>
      <c r="P197">
        <f>('2023a'!K164+'2024a'!K164)/2</f>
        <v>4.2697704923964501</v>
      </c>
      <c r="Q197">
        <f>('2023a'!Q11+'2024a'!Q11)/2</f>
        <v>1.0209236977764955</v>
      </c>
      <c r="R197">
        <f>('2023a'!Q30+'2024a'!Q30)/2</f>
        <v>1.2765602771399589</v>
      </c>
      <c r="S197">
        <f>('2023a'!Q49+'2024a'!Q49)/2</f>
        <v>1.2765602771399589</v>
      </c>
      <c r="T197">
        <f>('2023a'!Q68+'2024a'!Q68)/2</f>
        <v>1.2765602771399589</v>
      </c>
      <c r="U197">
        <f>('2023a'!Q87+'2024a'!Q87)/2</f>
        <v>1.2765602771399589</v>
      </c>
      <c r="V197">
        <f>('2023a'!Q107+'2024a'!Q107)/2</f>
        <v>1.1011118647716693</v>
      </c>
    </row>
    <row r="198" spans="13:22" x14ac:dyDescent="0.3">
      <c r="M198">
        <v>7</v>
      </c>
      <c r="N198">
        <f>('2023a'!K127+'2024a'!K127)/2</f>
        <v>17.452798122614922</v>
      </c>
      <c r="O198">
        <f>('2023a'!K146+'2024a'!K146)/2</f>
        <v>16.006880842284716</v>
      </c>
      <c r="P198">
        <f>('2023a'!K165+'2024a'!K165)/2</f>
        <v>13.672412783089895</v>
      </c>
      <c r="Q198">
        <f>('2023a'!Q12+'2024a'!Q12)/2</f>
        <v>12.499825216557463</v>
      </c>
      <c r="R198">
        <f>('2023a'!Q31+'2024a'!Q31)/2</f>
        <v>12.499825216557463</v>
      </c>
      <c r="S198">
        <f>('2023a'!Q50+'2024a'!Q50)/2</f>
        <v>12.499825216557463</v>
      </c>
      <c r="T198">
        <f>('2023a'!Q69+'2024a'!Q69)/2</f>
        <v>12.499825216557463</v>
      </c>
      <c r="U198">
        <f>('2023a'!Q88+'2024a'!Q88)/2</f>
        <v>12.499825216557463</v>
      </c>
      <c r="V198">
        <f>('2023a'!Q108+'2024a'!Q108)/2</f>
        <v>12.499825216557463</v>
      </c>
    </row>
    <row r="199" spans="13:22" x14ac:dyDescent="0.3">
      <c r="M199">
        <v>8</v>
      </c>
      <c r="N199">
        <f>('2023a'!K128+'2024a'!K128)/2</f>
        <v>11.289365312627439</v>
      </c>
      <c r="O199">
        <f>('2023a'!K147+'2024a'!K147)/2</f>
        <v>7.6237258242551578</v>
      </c>
      <c r="P199">
        <f>('2023a'!K166+'2024a'!K166)/2</f>
        <v>7.424979133898538</v>
      </c>
      <c r="Q199">
        <f>('2023a'!Q13+'2024a'!Q13)/2</f>
        <v>3.8499419209159527</v>
      </c>
      <c r="R199">
        <f>('2023a'!Q32+'2024a'!Q32)/2</f>
        <v>3.8499419209159527</v>
      </c>
      <c r="S199">
        <f>('2023a'!Q51+'2024a'!Q51)/2</f>
        <v>3.8499419209159527</v>
      </c>
      <c r="T199">
        <f>('2023a'!Q70+'2024a'!Q70)/2</f>
        <v>3.8499419209159527</v>
      </c>
      <c r="U199">
        <f>('2023a'!Q89+'2024a'!Q89)/2</f>
        <v>3.8499419209159527</v>
      </c>
      <c r="V199">
        <f>('2023a'!Q109+'2024a'!Q109)/2</f>
        <v>3.8499419209159527</v>
      </c>
    </row>
    <row r="200" spans="13:22" x14ac:dyDescent="0.3">
      <c r="M200">
        <v>9</v>
      </c>
      <c r="N200">
        <f>('2023a'!K129+'2024a'!K129)/2</f>
        <v>10.852436149733279</v>
      </c>
      <c r="O200">
        <f>('2023a'!K148+'2024a'!K148)/2</f>
        <v>10.131131394180969</v>
      </c>
      <c r="P200">
        <f>('2023a'!K167+'2024a'!K167)/2</f>
        <v>7.5998991884145877</v>
      </c>
      <c r="Q200">
        <f>('2023a'!Q14+'2024a'!Q14)/2</f>
        <v>6.220262582210812</v>
      </c>
      <c r="R200">
        <f>('2023a'!Q33+'2024a'!Q33)/2</f>
        <v>6.3546139748750337</v>
      </c>
      <c r="S200">
        <f>('2023a'!Q52+'2024a'!Q52)/2</f>
        <v>6.3752595742092213</v>
      </c>
      <c r="T200">
        <f>('2023a'!Q71+'2024a'!Q71)/2</f>
        <v>6.354303980891034</v>
      </c>
      <c r="U200">
        <f>('2023a'!Q90+'2024a'!Q90)/2</f>
        <v>6.358333902682995</v>
      </c>
      <c r="V200">
        <f>('2023a'!Q110+'2024a'!Q110)/2</f>
        <v>6.3488480867726915</v>
      </c>
    </row>
    <row r="201" spans="13:22" x14ac:dyDescent="0.3">
      <c r="M201">
        <v>10</v>
      </c>
      <c r="N201">
        <f>('2023a'!K130+'2024a'!K130)/2</f>
        <v>9.2170807545391984</v>
      </c>
      <c r="O201">
        <f>('2023a'!K149+'2024a'!K149)/2</f>
        <v>5.1826427565490709</v>
      </c>
      <c r="P201">
        <f>('2023a'!K168+'2024a'!K168)/2</f>
        <v>6.5567294104655112</v>
      </c>
      <c r="Q201">
        <f>('2023a'!Q15+'2024a'!Q15)/2</f>
        <v>3.5345402606851057</v>
      </c>
      <c r="R201">
        <f>('2023a'!Q34+'2024a'!Q34)/2</f>
        <v>3.2951107535547637</v>
      </c>
      <c r="S201">
        <f>('2023a'!Q53+'2024a'!Q53)/2</f>
        <v>3.3220310795944039</v>
      </c>
      <c r="T201">
        <f>('2023a'!Q72+'2024a'!Q72)/2</f>
        <v>3.2906347089376164</v>
      </c>
      <c r="U201">
        <f>('2023a'!Q91+'2024a'!Q91)/2</f>
        <v>3.2478176679173658</v>
      </c>
      <c r="V201">
        <f>('2023a'!Q111+'2024a'!Q111)/2</f>
        <v>3.2231707567897834</v>
      </c>
    </row>
    <row r="202" spans="13:22" x14ac:dyDescent="0.3">
      <c r="M202">
        <v>11</v>
      </c>
      <c r="N202">
        <f>('2023a'!K131+'2024a'!K131)/2</f>
        <v>4.2260420972636208</v>
      </c>
      <c r="O202">
        <f>('2023a'!K150+'2024a'!K150)/2</f>
        <v>6.804986006481518</v>
      </c>
      <c r="P202">
        <f>('2023a'!K169+'2024a'!K169)/2</f>
        <v>10.311485092377328</v>
      </c>
      <c r="Q202">
        <f>('2023a'!Q16+'2024a'!Q16)/2</f>
        <v>8.226330724462418</v>
      </c>
      <c r="R202">
        <f>('2023a'!Q35+'2024a'!Q35)/2</f>
        <v>8.226330724462418</v>
      </c>
      <c r="S202">
        <f>('2023a'!Q54+'2024a'!Q54)/2</f>
        <v>8.226330724462418</v>
      </c>
      <c r="T202">
        <f>('2023a'!Q73+'2024a'!Q73)/2</f>
        <v>8.226330724462418</v>
      </c>
      <c r="U202">
        <f>('2023a'!Q92+'2024a'!Q92)/2</f>
        <v>8.226330724462418</v>
      </c>
      <c r="V202">
        <f>('2023a'!Q112+'2024a'!Q112)/2</f>
        <v>8.226330724462418</v>
      </c>
    </row>
    <row r="203" spans="13:22" x14ac:dyDescent="0.3">
      <c r="M203">
        <v>12</v>
      </c>
      <c r="N203">
        <f>('2023a'!K132+'2024a'!K132)/2</f>
        <v>2.8506028910196037</v>
      </c>
      <c r="O203">
        <f>('2023a'!K151+'2024a'!K151)/2</f>
        <v>5.1059712563272308</v>
      </c>
      <c r="P203">
        <f>('2023a'!K170+'2024a'!K170)/2</f>
        <v>10.746737897060052</v>
      </c>
      <c r="Q203">
        <f>('2023a'!Q17+'2024a'!Q17)/2</f>
        <v>5.8269080848370658</v>
      </c>
      <c r="R203">
        <f>('2023a'!Q36+'2024a'!Q36)/2</f>
        <v>5.9424143736722979</v>
      </c>
      <c r="S203">
        <f>('2023a'!Q55+'2024a'!Q55)/2</f>
        <v>5.9510242912652611</v>
      </c>
      <c r="T203">
        <f>('2023a'!Q74+'2024a'!Q74)/2</f>
        <v>5.8786282236173522</v>
      </c>
      <c r="U203">
        <f>('2023a'!Q93+'2024a'!Q93)/2</f>
        <v>5.9449003357942063</v>
      </c>
      <c r="V203">
        <f>('2023a'!Q113+'2024a'!Q113)/2</f>
        <v>5.9244063065940491</v>
      </c>
    </row>
    <row r="204" spans="13:22" x14ac:dyDescent="0.3">
      <c r="M204">
        <v>13</v>
      </c>
      <c r="N204">
        <f>('2023a'!K133+'2024a'!K133)/2</f>
        <v>9.7709383722012912</v>
      </c>
      <c r="O204">
        <f>('2023a'!K152+'2024a'!K152)/2</f>
        <v>12.048558985431374</v>
      </c>
      <c r="P204">
        <f>('2023a'!K171+'2024a'!K171)/2</f>
        <v>15.652299839560756</v>
      </c>
      <c r="Q204">
        <f>('2023a'!Q18+'2024a'!Q18)/2</f>
        <v>10.176423015285831</v>
      </c>
      <c r="R204">
        <f>('2023a'!Q37+'2024a'!Q37)/2</f>
        <v>9.6890496030850262</v>
      </c>
      <c r="S204">
        <f>('2023a'!Q56+'2024a'!Q56)/2</f>
        <v>9.6890496030850262</v>
      </c>
      <c r="T204">
        <f>('2023a'!Q75+'2024a'!Q75)/2</f>
        <v>9.6890496030850262</v>
      </c>
      <c r="U204">
        <f>('2023a'!Q94+'2024a'!Q94)/2</f>
        <v>9.6890496030850262</v>
      </c>
      <c r="V204">
        <f>('2023a'!Q114+'2024a'!Q114)/2</f>
        <v>9.6890496030850262</v>
      </c>
    </row>
    <row r="205" spans="13:22" x14ac:dyDescent="0.3">
      <c r="M205">
        <v>14</v>
      </c>
      <c r="N205">
        <f>('2023a'!K134+'2024a'!K134)/2</f>
        <v>3.635124816433235</v>
      </c>
      <c r="O205">
        <f>('2023a'!K153+'2024a'!K153)/2</f>
        <v>7.0042807942819643</v>
      </c>
      <c r="P205">
        <f>('2023a'!K172+'2024a'!K172)/2</f>
        <v>9.2710803571276479</v>
      </c>
      <c r="Q205">
        <f>('2023a'!Q19+'2024a'!Q19)/2</f>
        <v>8.107924191495643</v>
      </c>
      <c r="R205">
        <f>('2023a'!Q38+'2024a'!Q38)/2</f>
        <v>8.360029083299473</v>
      </c>
      <c r="S205">
        <f>('2023a'!Q57+'2024a'!Q57)/2</f>
        <v>8.360029083299473</v>
      </c>
      <c r="T205">
        <f>('2023a'!Q76+'2024a'!Q76)/2</f>
        <v>8.360029083299473</v>
      </c>
      <c r="U205">
        <f>('2023a'!Q95+'2024a'!Q95)/2</f>
        <v>8.360029083299473</v>
      </c>
      <c r="V205">
        <f>('2023a'!Q115+'2024a'!Q115)/2</f>
        <v>8.2862422856983571</v>
      </c>
    </row>
  </sheetData>
  <mergeCells count="37">
    <mergeCell ref="D100:H100"/>
    <mergeCell ref="I100:I101"/>
    <mergeCell ref="J100:J101"/>
    <mergeCell ref="K100:K101"/>
    <mergeCell ref="L100:L101"/>
    <mergeCell ref="D61:H61"/>
    <mergeCell ref="I61:I62"/>
    <mergeCell ref="J61:J62"/>
    <mergeCell ref="K61:K62"/>
    <mergeCell ref="L61:L62"/>
    <mergeCell ref="D80:H80"/>
    <mergeCell ref="I80:I81"/>
    <mergeCell ref="J80:J81"/>
    <mergeCell ref="K80:K81"/>
    <mergeCell ref="L80:L81"/>
    <mergeCell ref="D23:H23"/>
    <mergeCell ref="I23:I24"/>
    <mergeCell ref="J23:J24"/>
    <mergeCell ref="K23:K24"/>
    <mergeCell ref="L23:L24"/>
    <mergeCell ref="D42:H42"/>
    <mergeCell ref="I42:I43"/>
    <mergeCell ref="J42:J43"/>
    <mergeCell ref="K42:K43"/>
    <mergeCell ref="L42:L43"/>
    <mergeCell ref="B20:O20"/>
    <mergeCell ref="D4:H4"/>
    <mergeCell ref="I4:I5"/>
    <mergeCell ref="J4:J5"/>
    <mergeCell ref="K4:K5"/>
    <mergeCell ref="L4:L5"/>
    <mergeCell ref="D157:H157"/>
    <mergeCell ref="L157:L158"/>
    <mergeCell ref="D138:H138"/>
    <mergeCell ref="L138:L139"/>
    <mergeCell ref="D119:H119"/>
    <mergeCell ref="L119:L120"/>
  </mergeCells>
  <pageMargins left="0.7" right="0.7" top="0.75" bottom="0.75" header="0.3" footer="0.3"/>
  <pageSetup scale="56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S19"/>
  <sheetViews>
    <sheetView workbookViewId="0">
      <selection activeCell="I23" sqref="I23"/>
    </sheetView>
  </sheetViews>
  <sheetFormatPr defaultRowHeight="14.4" x14ac:dyDescent="0.3"/>
  <cols>
    <col min="3" max="3" width="9.21875" bestFit="1" customWidth="1"/>
    <col min="6" max="6" width="9.21875" bestFit="1" customWidth="1"/>
    <col min="9" max="9" width="9.21875" bestFit="1" customWidth="1"/>
    <col min="12" max="12" width="9.21875" bestFit="1" customWidth="1"/>
    <col min="18" max="18" width="9.21875" bestFit="1" customWidth="1"/>
  </cols>
  <sheetData>
    <row r="1" spans="2:19" x14ac:dyDescent="0.3">
      <c r="B1" s="120" t="s">
        <v>213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</row>
    <row r="3" spans="2:19" x14ac:dyDescent="0.3">
      <c r="B3" s="121" t="s">
        <v>112</v>
      </c>
      <c r="C3" s="122"/>
      <c r="D3" s="123"/>
      <c r="E3" s="124" t="s">
        <v>113</v>
      </c>
      <c r="F3" s="125"/>
      <c r="G3" s="126"/>
      <c r="H3" s="127" t="s">
        <v>64</v>
      </c>
      <c r="I3" s="128"/>
      <c r="J3" s="129"/>
      <c r="K3" s="130" t="s">
        <v>53</v>
      </c>
      <c r="L3" s="131"/>
      <c r="M3" s="132"/>
      <c r="N3" s="114" t="s">
        <v>114</v>
      </c>
      <c r="O3" s="115"/>
      <c r="P3" s="116"/>
      <c r="Q3" s="117" t="s">
        <v>57</v>
      </c>
      <c r="R3" s="118"/>
      <c r="S3" s="119"/>
    </row>
    <row r="4" spans="2:19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</row>
    <row r="5" spans="2:19" x14ac:dyDescent="0.3">
      <c r="B5" s="54">
        <f>'2024a'!L6</f>
        <v>-9.9619177392909855</v>
      </c>
      <c r="C5" s="60">
        <f>'2024a'!M6</f>
        <v>-13.752700000000001</v>
      </c>
      <c r="D5" s="54">
        <f>ABS(B5-C5)</f>
        <v>3.7907822607090154</v>
      </c>
      <c r="E5" s="56">
        <f>'2024a'!L25</f>
        <v>-9.9619177392909855</v>
      </c>
      <c r="F5" s="61">
        <f>'2024a'!M25</f>
        <v>-13.65</v>
      </c>
      <c r="G5" s="56">
        <f>ABS(E5-F5)</f>
        <v>3.6880822607090149</v>
      </c>
      <c r="H5" s="57">
        <f>'2024a'!L44</f>
        <v>-9.9619177392909855</v>
      </c>
      <c r="I5" s="62">
        <f>'2024a'!M44</f>
        <v>-13.65</v>
      </c>
      <c r="J5" s="75">
        <f>ABS(H5-I5)</f>
        <v>3.6880822607090149</v>
      </c>
      <c r="K5" s="59">
        <f>'2024a'!L63</f>
        <v>-9.9619177392909855</v>
      </c>
      <c r="L5" s="63">
        <f>'2024a'!M63</f>
        <v>-13.65</v>
      </c>
      <c r="M5" s="76">
        <f>ABS(K5-L5)</f>
        <v>3.6880822607090149</v>
      </c>
      <c r="N5" s="58">
        <f>'2024a'!L82</f>
        <v>-9.9619177392909855</v>
      </c>
      <c r="O5" s="64">
        <f>'2024a'!M82</f>
        <v>-13.65</v>
      </c>
      <c r="P5" s="77">
        <f>ABS(N5-O5)</f>
        <v>3.6880822607090149</v>
      </c>
      <c r="Q5" s="55">
        <f>'2024a'!L102</f>
        <v>-9.9619177392909855</v>
      </c>
      <c r="R5" s="65">
        <f>'2024a'!M102</f>
        <v>-13.65</v>
      </c>
      <c r="S5" s="55">
        <f>ABS(Q5-R5)</f>
        <v>3.6880822607090149</v>
      </c>
    </row>
    <row r="6" spans="2:19" x14ac:dyDescent="0.3">
      <c r="B6" s="54">
        <f>'2024a'!L7</f>
        <v>-3.6051464333185743</v>
      </c>
      <c r="C6" s="60">
        <f>'2024a'!M7</f>
        <v>-8.6270000000000007</v>
      </c>
      <c r="D6" s="54">
        <f t="shared" ref="D6:D18" si="0">ABS(B6-C6)</f>
        <v>5.0218535666814264</v>
      </c>
      <c r="E6" s="56">
        <f>'2024a'!L26</f>
        <v>-3.6051464333185743</v>
      </c>
      <c r="F6" s="61">
        <f>'2024a'!M26</f>
        <v>-8.6270000000000007</v>
      </c>
      <c r="G6" s="56">
        <f t="shared" ref="G6:G18" si="1">ABS(E6-F6)</f>
        <v>5.0218535666814264</v>
      </c>
      <c r="H6" s="57">
        <f>'2024a'!L45</f>
        <v>-3.6051464333185743</v>
      </c>
      <c r="I6" s="62">
        <f>'2024a'!M45</f>
        <v>-8.6270000000000007</v>
      </c>
      <c r="J6" s="75">
        <f t="shared" ref="J6:J18" si="2">ABS(H6-I6)</f>
        <v>5.0218535666814264</v>
      </c>
      <c r="K6" s="59">
        <f>'2024a'!L64</f>
        <v>-3.6051464333185743</v>
      </c>
      <c r="L6" s="63">
        <f>'2024a'!M64</f>
        <v>-8.6270000000000007</v>
      </c>
      <c r="M6" s="76">
        <f t="shared" ref="M6:M18" si="3">ABS(K6-L6)</f>
        <v>5.0218535666814264</v>
      </c>
      <c r="N6" s="58">
        <f>'2024a'!L83</f>
        <v>-3.6051464333185743</v>
      </c>
      <c r="O6" s="64">
        <f>'2024a'!M83</f>
        <v>-8.6270000000000007</v>
      </c>
      <c r="P6" s="77">
        <f t="shared" ref="P6:P18" si="4">ABS(N6-O6)</f>
        <v>5.0218535666814264</v>
      </c>
      <c r="Q6" s="55">
        <f>'2024a'!L103</f>
        <v>-3.6051464333185743</v>
      </c>
      <c r="R6" s="65">
        <f>'2024a'!M103</f>
        <v>-8.6270000000000007</v>
      </c>
      <c r="S6" s="55">
        <f t="shared" ref="S6:S18" si="5">ABS(Q6-R6)</f>
        <v>5.0218535666814264</v>
      </c>
    </row>
    <row r="7" spans="2:19" x14ac:dyDescent="0.3">
      <c r="B7" s="54">
        <f>'2024a'!L8</f>
        <v>-8.5739194347608034</v>
      </c>
      <c r="C7" s="60">
        <f>'2024a'!M8</f>
        <v>0</v>
      </c>
      <c r="D7" s="54">
        <f t="shared" si="0"/>
        <v>8.5739194347608034</v>
      </c>
      <c r="E7" s="56">
        <f>'2024a'!L27</f>
        <v>-8.5739194347608034</v>
      </c>
      <c r="F7" s="61">
        <f>'2024a'!M27</f>
        <v>0</v>
      </c>
      <c r="G7" s="56">
        <f t="shared" si="1"/>
        <v>8.5739194347608034</v>
      </c>
      <c r="H7" s="57">
        <f>'2024a'!L46</f>
        <v>-8.5739194347608034</v>
      </c>
      <c r="I7" s="62">
        <f>'2024a'!M46</f>
        <v>0</v>
      </c>
      <c r="J7" s="75">
        <f t="shared" si="2"/>
        <v>8.5739194347608034</v>
      </c>
      <c r="K7" s="59">
        <f>'2024a'!L65</f>
        <v>-8.5739194347608034</v>
      </c>
      <c r="L7" s="63">
        <f>'2024a'!M65</f>
        <v>0</v>
      </c>
      <c r="M7" s="76">
        <f t="shared" si="3"/>
        <v>8.5739194347608034</v>
      </c>
      <c r="N7" s="58">
        <f>'2024a'!L84</f>
        <v>-8.5739194347608034</v>
      </c>
      <c r="O7" s="64">
        <f>'2024a'!M84</f>
        <v>0</v>
      </c>
      <c r="P7" s="77">
        <f t="shared" si="4"/>
        <v>8.5739194347608034</v>
      </c>
      <c r="Q7" s="55">
        <f>'2024a'!L104</f>
        <v>-8.5739194347608034</v>
      </c>
      <c r="R7" s="65">
        <f>'2024a'!M104</f>
        <v>0</v>
      </c>
      <c r="S7" s="55">
        <f t="shared" si="5"/>
        <v>8.5739194347608034</v>
      </c>
    </row>
    <row r="8" spans="2:19" x14ac:dyDescent="0.3">
      <c r="B8" s="54">
        <f>'2024a'!L9</f>
        <v>-3.7454597713523752</v>
      </c>
      <c r="C8" s="60">
        <f>'2024a'!M9</f>
        <v>-12</v>
      </c>
      <c r="D8" s="54">
        <f t="shared" si="0"/>
        <v>8.2545402286476239</v>
      </c>
      <c r="E8" s="56">
        <f>'2024a'!L28</f>
        <v>-3.7454597713523752</v>
      </c>
      <c r="F8" s="61">
        <f>'2024a'!M28</f>
        <v>-12</v>
      </c>
      <c r="G8" s="56">
        <f t="shared" si="1"/>
        <v>8.2545402286476239</v>
      </c>
      <c r="H8" s="57">
        <f>'2024a'!L47</f>
        <v>-3.7454597713523752</v>
      </c>
      <c r="I8" s="62">
        <f>'2024a'!M47</f>
        <v>-11.9902</v>
      </c>
      <c r="J8" s="75">
        <f t="shared" si="2"/>
        <v>8.2447402286476255</v>
      </c>
      <c r="K8" s="59">
        <f>'2024a'!L66</f>
        <v>-3.7454597713523752</v>
      </c>
      <c r="L8" s="63">
        <f>'2024a'!M66</f>
        <v>-11.9474</v>
      </c>
      <c r="M8" s="76">
        <f t="shared" si="3"/>
        <v>8.2019402286476257</v>
      </c>
      <c r="N8" s="58">
        <f>'2024a'!L85</f>
        <v>-3.7454597713523752</v>
      </c>
      <c r="O8" s="64">
        <f>'2024a'!M85</f>
        <v>-11.985799999999999</v>
      </c>
      <c r="P8" s="77">
        <f t="shared" si="4"/>
        <v>8.2403402286476251</v>
      </c>
      <c r="Q8" s="55">
        <f>'2024a'!L105</f>
        <v>-3.7454597713523752</v>
      </c>
      <c r="R8" s="65">
        <f>'2024a'!M105</f>
        <v>-11.9869</v>
      </c>
      <c r="S8" s="55">
        <f t="shared" si="5"/>
        <v>8.241440228647626</v>
      </c>
    </row>
    <row r="9" spans="2:19" x14ac:dyDescent="0.3">
      <c r="B9" s="54">
        <f>'2024a'!L10</f>
        <v>-4.421207984151831</v>
      </c>
      <c r="C9" s="60">
        <f>'2024a'!M10</f>
        <v>-13.663399999999999</v>
      </c>
      <c r="D9" s="54">
        <f t="shared" si="0"/>
        <v>9.2421920158481683</v>
      </c>
      <c r="E9" s="56">
        <f>'2024a'!L29</f>
        <v>-4.421207984151831</v>
      </c>
      <c r="F9" s="61">
        <f>'2024a'!M29</f>
        <v>-13.65</v>
      </c>
      <c r="G9" s="56">
        <f t="shared" si="1"/>
        <v>9.2287920158481693</v>
      </c>
      <c r="H9" s="57">
        <f>'2024a'!L48</f>
        <v>-4.421207984151831</v>
      </c>
      <c r="I9" s="62">
        <f>'2024a'!M48</f>
        <v>-13.65</v>
      </c>
      <c r="J9" s="75">
        <f t="shared" si="2"/>
        <v>9.2287920158481693</v>
      </c>
      <c r="K9" s="59">
        <f>'2024a'!L67</f>
        <v>-4.421207984151831</v>
      </c>
      <c r="L9" s="63">
        <f>'2024a'!M67</f>
        <v>-13.65</v>
      </c>
      <c r="M9" s="76">
        <f t="shared" si="3"/>
        <v>9.2287920158481693</v>
      </c>
      <c r="N9" s="58">
        <f>'2024a'!L86</f>
        <v>-4.421207984151831</v>
      </c>
      <c r="O9" s="64">
        <f>'2024a'!M86</f>
        <v>-13.65</v>
      </c>
      <c r="P9" s="77">
        <f t="shared" si="4"/>
        <v>9.2287920158481693</v>
      </c>
      <c r="Q9" s="55">
        <f>'2024a'!L106</f>
        <v>-4.421207984151831</v>
      </c>
      <c r="R9" s="65">
        <f>'2024a'!M106</f>
        <v>-13.65</v>
      </c>
      <c r="S9" s="55">
        <f t="shared" si="5"/>
        <v>9.2287920158481693</v>
      </c>
    </row>
    <row r="10" spans="2:19" x14ac:dyDescent="0.3">
      <c r="B10" s="54">
        <f>'2024a'!L11</f>
        <v>-11.998988168729841</v>
      </c>
      <c r="C10" s="60">
        <f>'2024a'!M11</f>
        <v>-10.934200000000001</v>
      </c>
      <c r="D10" s="54">
        <f t="shared" si="0"/>
        <v>1.0647881687298408</v>
      </c>
      <c r="E10" s="56">
        <f>'2024a'!L30</f>
        <v>-11.998988168729841</v>
      </c>
      <c r="F10" s="61">
        <f>'2024a'!M30</f>
        <v>-10.5</v>
      </c>
      <c r="G10" s="56">
        <f t="shared" si="1"/>
        <v>1.4989881687298414</v>
      </c>
      <c r="H10" s="57">
        <f>'2024a'!L49</f>
        <v>-11.998988168729841</v>
      </c>
      <c r="I10" s="62">
        <f>'2024a'!M49</f>
        <v>-10.5</v>
      </c>
      <c r="J10" s="75">
        <f t="shared" si="2"/>
        <v>1.4989881687298414</v>
      </c>
      <c r="K10" s="59">
        <f>'2024a'!L68</f>
        <v>-11.998988168729841</v>
      </c>
      <c r="L10" s="63">
        <f>'2024a'!M68</f>
        <v>-10.5</v>
      </c>
      <c r="M10" s="76">
        <f t="shared" si="3"/>
        <v>1.4989881687298414</v>
      </c>
      <c r="N10" s="58">
        <f>'2024a'!L87</f>
        <v>-11.998988168729841</v>
      </c>
      <c r="O10" s="64">
        <f>'2024a'!M87</f>
        <v>-10.5</v>
      </c>
      <c r="P10" s="77">
        <f t="shared" si="4"/>
        <v>1.4989881687298414</v>
      </c>
      <c r="Q10" s="55">
        <f>'2024a'!L107</f>
        <v>-11.998988168729841</v>
      </c>
      <c r="R10" s="65">
        <f>'2024a'!M107</f>
        <v>-10.798</v>
      </c>
      <c r="S10" s="55">
        <f t="shared" si="5"/>
        <v>1.2009881687298414</v>
      </c>
    </row>
    <row r="11" spans="2:19" x14ac:dyDescent="0.3">
      <c r="B11" s="54">
        <f>'2024a'!L12</f>
        <v>-10.510290057799001</v>
      </c>
      <c r="C11" s="60">
        <f>'2024a'!M12</f>
        <v>0</v>
      </c>
      <c r="D11" s="54">
        <f t="shared" si="0"/>
        <v>10.510290057799001</v>
      </c>
      <c r="E11" s="56">
        <f>'2024a'!L31</f>
        <v>-10.510290057799001</v>
      </c>
      <c r="F11" s="61">
        <f>'2024a'!M31</f>
        <v>0</v>
      </c>
      <c r="G11" s="56">
        <f t="shared" si="1"/>
        <v>10.510290057799001</v>
      </c>
      <c r="H11" s="57">
        <f>'2024a'!L50</f>
        <v>-10.510290057799001</v>
      </c>
      <c r="I11" s="62">
        <f>'2024a'!M50</f>
        <v>0</v>
      </c>
      <c r="J11" s="75">
        <f t="shared" si="2"/>
        <v>10.510290057799001</v>
      </c>
      <c r="K11" s="59">
        <f>'2024a'!L69</f>
        <v>-10.510290057799001</v>
      </c>
      <c r="L11" s="63">
        <f>'2024a'!M69</f>
        <v>0</v>
      </c>
      <c r="M11" s="76">
        <f t="shared" si="3"/>
        <v>10.510290057799001</v>
      </c>
      <c r="N11" s="58">
        <f>'2024a'!L88</f>
        <v>-10.510290057799001</v>
      </c>
      <c r="O11" s="64">
        <f>'2024a'!M88</f>
        <v>0</v>
      </c>
      <c r="P11" s="77">
        <f t="shared" si="4"/>
        <v>10.510290057799001</v>
      </c>
      <c r="Q11" s="55">
        <f>'2024a'!L108</f>
        <v>-10.510290057799001</v>
      </c>
      <c r="R11" s="65">
        <f>'2024a'!M108</f>
        <v>0</v>
      </c>
      <c r="S11" s="55">
        <f t="shared" si="5"/>
        <v>10.510290057799001</v>
      </c>
    </row>
    <row r="12" spans="2:19" x14ac:dyDescent="0.3">
      <c r="B12" s="54">
        <f>'2024a'!L13</f>
        <v>-6.4495908074259125</v>
      </c>
      <c r="C12" s="60">
        <f>'2024a'!M13</f>
        <v>-12</v>
      </c>
      <c r="D12" s="54">
        <f t="shared" si="0"/>
        <v>5.5504091925740875</v>
      </c>
      <c r="E12" s="56">
        <f>'2024a'!L32</f>
        <v>-6.4495908074259125</v>
      </c>
      <c r="F12" s="61">
        <f>'2024a'!M32</f>
        <v>-12</v>
      </c>
      <c r="G12" s="56">
        <f t="shared" si="1"/>
        <v>5.5504091925740875</v>
      </c>
      <c r="H12" s="57">
        <f>'2024a'!L51</f>
        <v>-6.4495908074259125</v>
      </c>
      <c r="I12" s="62">
        <f>'2024a'!M51</f>
        <v>-12</v>
      </c>
      <c r="J12" s="75">
        <f t="shared" si="2"/>
        <v>5.5504091925740875</v>
      </c>
      <c r="K12" s="59">
        <f>'2024a'!L70</f>
        <v>-6.4495908074259125</v>
      </c>
      <c r="L12" s="63">
        <f>'2024a'!M70</f>
        <v>-12</v>
      </c>
      <c r="M12" s="76">
        <f t="shared" si="3"/>
        <v>5.5504091925740875</v>
      </c>
      <c r="N12" s="58">
        <f>'2024a'!L89</f>
        <v>-6.4495908074259125</v>
      </c>
      <c r="O12" s="64">
        <f>'2024a'!M89</f>
        <v>-12</v>
      </c>
      <c r="P12" s="77">
        <f t="shared" si="4"/>
        <v>5.5504091925740875</v>
      </c>
      <c r="Q12" s="55">
        <f>'2024a'!L109</f>
        <v>-6.4495908074259125</v>
      </c>
      <c r="R12" s="65">
        <f>'2024a'!M109</f>
        <v>-12</v>
      </c>
      <c r="S12" s="55">
        <f t="shared" si="5"/>
        <v>5.5504091925740875</v>
      </c>
    </row>
    <row r="13" spans="2:19" x14ac:dyDescent="0.3">
      <c r="B13" s="54">
        <f>'2024a'!L14</f>
        <v>-8.8817713081363916</v>
      </c>
      <c r="C13" s="60">
        <f>'2024a'!M14</f>
        <v>-14.0608</v>
      </c>
      <c r="D13" s="54">
        <f t="shared" si="0"/>
        <v>5.1790286918636088</v>
      </c>
      <c r="E13" s="56">
        <f>'2024a'!L33</f>
        <v>-8.8817713081363916</v>
      </c>
      <c r="F13" s="61">
        <f>'2024a'!M33</f>
        <v>-14.2775</v>
      </c>
      <c r="G13" s="56">
        <f t="shared" si="1"/>
        <v>5.3957286918636083</v>
      </c>
      <c r="H13" s="57">
        <f>'2024a'!L52</f>
        <v>-8.8817713081363916</v>
      </c>
      <c r="I13" s="62">
        <f>'2024a'!M52</f>
        <v>-14.3108</v>
      </c>
      <c r="J13" s="75">
        <f t="shared" si="2"/>
        <v>5.4290286918636088</v>
      </c>
      <c r="K13" s="59">
        <f>'2024a'!L71</f>
        <v>-8.8817713081363916</v>
      </c>
      <c r="L13" s="63">
        <f>'2024a'!M71</f>
        <v>-14.276999999999999</v>
      </c>
      <c r="M13" s="76">
        <f t="shared" si="3"/>
        <v>5.3952286918636077</v>
      </c>
      <c r="N13" s="58">
        <f>'2024a'!L90</f>
        <v>-8.8817713081363916</v>
      </c>
      <c r="O13" s="64">
        <f>'2024a'!M90</f>
        <v>-14.2835</v>
      </c>
      <c r="P13" s="77">
        <f t="shared" si="4"/>
        <v>5.4017286918636085</v>
      </c>
      <c r="Q13" s="55">
        <f>'2024a'!L110</f>
        <v>-8.8817713081363916</v>
      </c>
      <c r="R13" s="65">
        <f>'2024a'!M110</f>
        <v>-14.2682</v>
      </c>
      <c r="S13" s="55">
        <f t="shared" si="5"/>
        <v>5.3864286918636086</v>
      </c>
    </row>
    <row r="14" spans="2:19" x14ac:dyDescent="0.3">
      <c r="B14" s="54">
        <f>'2024a'!L15</f>
        <v>-3.5312116743827406</v>
      </c>
      <c r="C14" s="60">
        <f>'2024a'!M15</f>
        <v>-7.9569000000000001</v>
      </c>
      <c r="D14" s="54">
        <f t="shared" si="0"/>
        <v>4.4256883256172594</v>
      </c>
      <c r="E14" s="56">
        <f>'2024a'!L34</f>
        <v>-3.5312116743827406</v>
      </c>
      <c r="F14" s="61">
        <f>'2024a'!M34</f>
        <v>-7.3544</v>
      </c>
      <c r="G14" s="56">
        <f t="shared" si="1"/>
        <v>3.8231883256172594</v>
      </c>
      <c r="H14" s="57">
        <f>'2024a'!L53</f>
        <v>-3.5312116743827406</v>
      </c>
      <c r="I14" s="62">
        <f>'2024a'!M53</f>
        <v>-7.3342000000000001</v>
      </c>
      <c r="J14" s="75">
        <f t="shared" si="2"/>
        <v>3.8029883256172594</v>
      </c>
      <c r="K14" s="59">
        <f>'2024a'!L72</f>
        <v>-3.5312116743827406</v>
      </c>
      <c r="L14" s="63">
        <f>'2024a'!M72</f>
        <v>-7.3463000000000003</v>
      </c>
      <c r="M14" s="76">
        <f t="shared" si="3"/>
        <v>3.8150883256172596</v>
      </c>
      <c r="N14" s="58">
        <f>'2024a'!L91</f>
        <v>-3.5312116743827406</v>
      </c>
      <c r="O14" s="64">
        <f>'2024a'!M91</f>
        <v>-7.2103000000000002</v>
      </c>
      <c r="P14" s="77">
        <f t="shared" si="4"/>
        <v>3.6790883256172595</v>
      </c>
      <c r="Q14" s="55">
        <f>'2024a'!L111</f>
        <v>-3.5312116743827406</v>
      </c>
      <c r="R14" s="65">
        <f>'2024a'!M111</f>
        <v>-7.2054999999999998</v>
      </c>
      <c r="S14" s="55">
        <f t="shared" si="5"/>
        <v>3.6742883256172592</v>
      </c>
    </row>
    <row r="15" spans="2:19" x14ac:dyDescent="0.3">
      <c r="B15" s="54">
        <f>'2024a'!L16</f>
        <v>-4.3427803166585974</v>
      </c>
      <c r="C15" s="60">
        <f>'2024a'!M16</f>
        <v>0</v>
      </c>
      <c r="D15" s="54">
        <f t="shared" si="0"/>
        <v>4.3427803166585974</v>
      </c>
      <c r="E15" s="56">
        <f>'2024a'!L35</f>
        <v>-4.3427803166585974</v>
      </c>
      <c r="F15" s="61">
        <f>'2024a'!M35</f>
        <v>0</v>
      </c>
      <c r="G15" s="56">
        <f t="shared" si="1"/>
        <v>4.3427803166585974</v>
      </c>
      <c r="H15" s="57">
        <f>'2024a'!L54</f>
        <v>-4.3427803166585974</v>
      </c>
      <c r="I15" s="62">
        <f>'2024a'!M54</f>
        <v>0</v>
      </c>
      <c r="J15" s="75">
        <f t="shared" si="2"/>
        <v>4.3427803166585974</v>
      </c>
      <c r="K15" s="59">
        <f>'2024a'!L73</f>
        <v>-4.3427803166585974</v>
      </c>
      <c r="L15" s="63">
        <f>'2024a'!M73</f>
        <v>0</v>
      </c>
      <c r="M15" s="76">
        <f t="shared" si="3"/>
        <v>4.3427803166585974</v>
      </c>
      <c r="N15" s="58">
        <f>'2024a'!L92</f>
        <v>-4.3427803166585974</v>
      </c>
      <c r="O15" s="64">
        <f>'2024a'!M92</f>
        <v>0</v>
      </c>
      <c r="P15" s="77">
        <f t="shared" si="4"/>
        <v>4.3427803166585974</v>
      </c>
      <c r="Q15" s="55">
        <f>'2024a'!L112</f>
        <v>-4.3427803166585974</v>
      </c>
      <c r="R15" s="65">
        <f>'2024a'!M112</f>
        <v>0</v>
      </c>
      <c r="S15" s="55">
        <f t="shared" si="5"/>
        <v>4.3427803166585974</v>
      </c>
    </row>
    <row r="16" spans="2:19" x14ac:dyDescent="0.3">
      <c r="B16" s="54">
        <f>'2024a'!L17</f>
        <v>-13.38383584760898</v>
      </c>
      <c r="C16" s="60">
        <f>'2024a'!M17</f>
        <v>-14.018599999999999</v>
      </c>
      <c r="D16" s="54">
        <f t="shared" si="0"/>
        <v>0.63476415239101946</v>
      </c>
      <c r="E16" s="56">
        <f>'2024a'!L36</f>
        <v>-13.38383584760898</v>
      </c>
      <c r="F16" s="61">
        <f>'2024a'!M36</f>
        <v>-14.209099999999999</v>
      </c>
      <c r="G16" s="56">
        <f t="shared" si="1"/>
        <v>0.82526415239101958</v>
      </c>
      <c r="H16" s="57">
        <f>'2024a'!L55</f>
        <v>-13.38383584760898</v>
      </c>
      <c r="I16" s="62">
        <f>'2024a'!M55</f>
        <v>-14.2233</v>
      </c>
      <c r="J16" s="75">
        <f t="shared" si="2"/>
        <v>0.83946415239102024</v>
      </c>
      <c r="K16" s="59">
        <f>'2024a'!L74</f>
        <v>-13.38383584760898</v>
      </c>
      <c r="L16" s="63">
        <f>'2024a'!M74</f>
        <v>-14.103899999999999</v>
      </c>
      <c r="M16" s="76">
        <f t="shared" si="3"/>
        <v>0.72006415239101962</v>
      </c>
      <c r="N16" s="58">
        <f>'2024a'!L93</f>
        <v>-13.38383584760898</v>
      </c>
      <c r="O16" s="64">
        <f>'2024a'!M93</f>
        <v>-14.213200000000001</v>
      </c>
      <c r="P16" s="77">
        <f t="shared" si="4"/>
        <v>0.82936415239102068</v>
      </c>
      <c r="Q16" s="55">
        <f>'2024a'!L113</f>
        <v>-13.38383584760898</v>
      </c>
      <c r="R16" s="65">
        <f>'2024a'!M113</f>
        <v>-14.179399999999999</v>
      </c>
      <c r="S16" s="55">
        <f t="shared" si="5"/>
        <v>0.79556415239101952</v>
      </c>
    </row>
    <row r="17" spans="2:19" x14ac:dyDescent="0.3">
      <c r="B17" s="54">
        <f>'2024a'!L18</f>
        <v>-2.1310256016779494</v>
      </c>
      <c r="C17" s="60">
        <f>'2024a'!M18</f>
        <v>-6.8103999999999996</v>
      </c>
      <c r="D17" s="54">
        <f t="shared" si="0"/>
        <v>4.6793743983220502</v>
      </c>
      <c r="E17" s="56">
        <f>'2024a'!L37</f>
        <v>-2.1310256016779494</v>
      </c>
      <c r="F17" s="61">
        <f>'2024a'!M37</f>
        <v>-6</v>
      </c>
      <c r="G17" s="56">
        <f t="shared" si="1"/>
        <v>3.8689743983220506</v>
      </c>
      <c r="H17" s="57">
        <f>'2024a'!L56</f>
        <v>-2.1310256016779494</v>
      </c>
      <c r="I17" s="62">
        <f>'2024a'!M56</f>
        <v>-6</v>
      </c>
      <c r="J17" s="75">
        <f t="shared" si="2"/>
        <v>3.8689743983220506</v>
      </c>
      <c r="K17" s="59">
        <f>'2024a'!L75</f>
        <v>-2.1310256016779494</v>
      </c>
      <c r="L17" s="63">
        <f>'2024a'!M75</f>
        <v>-6</v>
      </c>
      <c r="M17" s="76">
        <f t="shared" si="3"/>
        <v>3.8689743983220506</v>
      </c>
      <c r="N17" s="58">
        <f>'2024a'!L94</f>
        <v>-2.1310256016779494</v>
      </c>
      <c r="O17" s="64">
        <f>'2024a'!M94</f>
        <v>-6</v>
      </c>
      <c r="P17" s="77">
        <f t="shared" si="4"/>
        <v>3.8689743983220506</v>
      </c>
      <c r="Q17" s="55">
        <f>'2024a'!L114</f>
        <v>-2.1310256016779494</v>
      </c>
      <c r="R17" s="65">
        <f>'2024a'!M114</f>
        <v>-6</v>
      </c>
      <c r="S17" s="55">
        <f t="shared" si="5"/>
        <v>3.8689743983220506</v>
      </c>
    </row>
    <row r="18" spans="2:19" x14ac:dyDescent="0.3">
      <c r="B18" s="54">
        <f>'2024a'!L19</f>
        <v>-4.0648816821434819</v>
      </c>
      <c r="C18" s="60">
        <f>'2024a'!M19</f>
        <v>0</v>
      </c>
      <c r="D18" s="54">
        <f t="shared" si="0"/>
        <v>4.0648816821434819</v>
      </c>
      <c r="E18" s="56">
        <f>'2024a'!L38</f>
        <v>-4.0648816821434819</v>
      </c>
      <c r="F18" s="61">
        <f>'2024a'!M38</f>
        <v>0</v>
      </c>
      <c r="G18" s="56">
        <f t="shared" si="1"/>
        <v>4.0648816821434819</v>
      </c>
      <c r="H18" s="57">
        <f>'2024a'!L57</f>
        <v>-4.0648816821434819</v>
      </c>
      <c r="I18" s="62">
        <f>'2024a'!M57</f>
        <v>0</v>
      </c>
      <c r="J18" s="75">
        <f t="shared" si="2"/>
        <v>4.0648816821434819</v>
      </c>
      <c r="K18" s="59">
        <f>'2024a'!L76</f>
        <v>-4.0648816821434819</v>
      </c>
      <c r="L18" s="63">
        <f>'2024a'!M76</f>
        <v>0</v>
      </c>
      <c r="M18" s="76">
        <f t="shared" si="3"/>
        <v>4.0648816821434819</v>
      </c>
      <c r="N18" s="58">
        <f>'2024a'!L95</f>
        <v>-4.0648816821434819</v>
      </c>
      <c r="O18" s="64">
        <f>'2024a'!M95</f>
        <v>0</v>
      </c>
      <c r="P18" s="77">
        <f t="shared" si="4"/>
        <v>4.0648816821434819</v>
      </c>
      <c r="Q18" s="55">
        <f>'2024a'!L115</f>
        <v>-4.0648816821434819</v>
      </c>
      <c r="R18" s="65">
        <f>'2024a'!M115</f>
        <v>0</v>
      </c>
      <c r="S18" s="55">
        <f t="shared" si="5"/>
        <v>4.0648816821434819</v>
      </c>
    </row>
    <row r="19" spans="2:19" x14ac:dyDescent="0.3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</row>
  </sheetData>
  <mergeCells count="7">
    <mergeCell ref="Q3:S3"/>
    <mergeCell ref="B1:S1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968F-2EE1-42F6-B41F-4E96ECDB2E83}">
  <dimension ref="A1:O86"/>
  <sheetViews>
    <sheetView topLeftCell="A58" zoomScale="80" zoomScaleNormal="80" workbookViewId="0">
      <selection activeCell="N42" sqref="N42"/>
    </sheetView>
  </sheetViews>
  <sheetFormatPr defaultRowHeight="14.4" x14ac:dyDescent="0.3"/>
  <cols>
    <col min="1" max="1" width="24.21875" customWidth="1"/>
    <col min="2" max="2" width="31.109375" customWidth="1"/>
    <col min="3" max="3" width="20.109375" customWidth="1"/>
    <col min="4" max="4" width="10.44140625" customWidth="1"/>
    <col min="5" max="5" width="10.33203125" customWidth="1"/>
    <col min="15" max="15" width="11.109375" customWidth="1"/>
  </cols>
  <sheetData>
    <row r="1" spans="1:10" x14ac:dyDescent="0.3">
      <c r="A1" s="18" t="s">
        <v>242</v>
      </c>
    </row>
    <row r="3" spans="1:10" ht="15.6" x14ac:dyDescent="0.3">
      <c r="A3" s="2" t="s">
        <v>123</v>
      </c>
      <c r="B3" s="2" t="s">
        <v>124</v>
      </c>
      <c r="C3" s="3"/>
      <c r="D3" s="14">
        <v>2021</v>
      </c>
      <c r="E3" s="14">
        <v>2022</v>
      </c>
      <c r="F3" s="170" t="s">
        <v>7</v>
      </c>
      <c r="G3" s="171"/>
      <c r="H3" s="14" t="s">
        <v>0</v>
      </c>
    </row>
    <row r="4" spans="1:10" ht="18" x14ac:dyDescent="0.3">
      <c r="A4" s="7"/>
      <c r="B4" s="7"/>
      <c r="C4" s="8"/>
      <c r="D4" s="14" t="s">
        <v>11</v>
      </c>
      <c r="E4" s="14" t="s">
        <v>11</v>
      </c>
      <c r="F4" s="14" t="s">
        <v>8</v>
      </c>
      <c r="G4" s="14" t="s">
        <v>9</v>
      </c>
      <c r="H4" s="14" t="s">
        <v>10</v>
      </c>
      <c r="J4" s="25"/>
    </row>
    <row r="5" spans="1:10" ht="15.6" x14ac:dyDescent="0.3">
      <c r="A5" s="2" t="s">
        <v>132</v>
      </c>
      <c r="B5" s="1" t="s">
        <v>137</v>
      </c>
      <c r="C5" s="1"/>
      <c r="D5" s="9">
        <f>'2021a'!L5</f>
        <v>-0.37383878957013295</v>
      </c>
      <c r="E5" s="9">
        <f>'2022a'!L5</f>
        <v>-0.48006313905753739</v>
      </c>
      <c r="F5" s="9">
        <f t="shared" ref="F5:F18" si="0">D5</f>
        <v>-0.37383878957013295</v>
      </c>
      <c r="G5" s="9">
        <f>E6</f>
        <v>-6.0942730339893503</v>
      </c>
      <c r="H5" s="9">
        <f t="shared" ref="H5:H18" si="1">E5</f>
        <v>-0.48006313905753739</v>
      </c>
    </row>
    <row r="6" spans="1:10" ht="15.6" x14ac:dyDescent="0.3">
      <c r="A6" s="7"/>
      <c r="B6" s="1" t="s">
        <v>138</v>
      </c>
      <c r="C6" s="1"/>
      <c r="D6" s="9">
        <f>'2021a'!L6</f>
        <v>-3.8646589063343644</v>
      </c>
      <c r="E6" s="9">
        <f>'2022a'!L6</f>
        <v>-6.0942730339893503</v>
      </c>
      <c r="F6" s="9">
        <f t="shared" si="0"/>
        <v>-3.8646589063343644</v>
      </c>
      <c r="G6" s="9">
        <f>E5</f>
        <v>-0.48006313905753739</v>
      </c>
      <c r="H6" s="9">
        <f t="shared" si="1"/>
        <v>-6.0942730339893503</v>
      </c>
    </row>
    <row r="7" spans="1:10" ht="15.6" x14ac:dyDescent="0.3">
      <c r="A7" s="2" t="s">
        <v>133</v>
      </c>
      <c r="B7" s="1" t="s">
        <v>139</v>
      </c>
      <c r="C7" s="1"/>
      <c r="D7" s="9">
        <f>'2021a'!L7</f>
        <v>-2.3990195608021483</v>
      </c>
      <c r="E7" s="9">
        <f>'2022a'!L7</f>
        <v>-9.989336370421352</v>
      </c>
      <c r="F7" s="9">
        <f t="shared" si="0"/>
        <v>-2.3990195608021483</v>
      </c>
      <c r="G7" s="9">
        <f>E12</f>
        <v>-3.675639418432092</v>
      </c>
      <c r="H7" s="9">
        <f t="shared" si="1"/>
        <v>-9.989336370421352</v>
      </c>
    </row>
    <row r="8" spans="1:10" ht="15.6" x14ac:dyDescent="0.3">
      <c r="A8" s="13"/>
      <c r="B8" s="1" t="s">
        <v>140</v>
      </c>
      <c r="C8" s="1"/>
      <c r="D8" s="9">
        <f>'2021a'!L8</f>
        <v>-0.44835353425667712</v>
      </c>
      <c r="E8" s="9">
        <f>'2022a'!L8</f>
        <v>-11.538678432734283</v>
      </c>
      <c r="F8" s="9">
        <f t="shared" si="0"/>
        <v>-0.44835353425667712</v>
      </c>
      <c r="G8" s="9">
        <f>E7</f>
        <v>-9.989336370421352</v>
      </c>
      <c r="H8" s="9">
        <f t="shared" si="1"/>
        <v>-11.538678432734283</v>
      </c>
    </row>
    <row r="9" spans="1:10" ht="15.6" x14ac:dyDescent="0.3">
      <c r="A9" s="13"/>
      <c r="B9" s="1" t="s">
        <v>141</v>
      </c>
      <c r="C9" s="1"/>
      <c r="D9" s="9">
        <f>'2021a'!L9</f>
        <v>-8.1964196019462623</v>
      </c>
      <c r="E9" s="9">
        <f>'2022a'!L9</f>
        <v>-10.18752226587625</v>
      </c>
      <c r="F9" s="9">
        <f t="shared" si="0"/>
        <v>-8.1964196019462623</v>
      </c>
      <c r="G9" s="9">
        <f>E8</f>
        <v>-11.538678432734283</v>
      </c>
      <c r="H9" s="9">
        <f t="shared" si="1"/>
        <v>-10.18752226587625</v>
      </c>
    </row>
    <row r="10" spans="1:10" ht="15.6" x14ac:dyDescent="0.3">
      <c r="A10" s="13"/>
      <c r="B10" s="1" t="s">
        <v>142</v>
      </c>
      <c r="C10" s="1"/>
      <c r="D10" s="9">
        <f>'2021a'!L10</f>
        <v>-5.5194505840590224</v>
      </c>
      <c r="E10" s="9">
        <f>'2022a'!L10</f>
        <v>-4.6052368239488706</v>
      </c>
      <c r="F10" s="9">
        <f t="shared" si="0"/>
        <v>-5.5194505840590224</v>
      </c>
      <c r="G10" s="9">
        <f>E9</f>
        <v>-10.18752226587625</v>
      </c>
      <c r="H10" s="9">
        <f t="shared" si="1"/>
        <v>-4.6052368239488706</v>
      </c>
    </row>
    <row r="11" spans="1:10" ht="15.6" x14ac:dyDescent="0.3">
      <c r="A11" s="13"/>
      <c r="B11" s="1" t="s">
        <v>143</v>
      </c>
      <c r="C11" s="1"/>
      <c r="D11" s="9">
        <f>'2021a'!L11</f>
        <v>-4.9303840591699863</v>
      </c>
      <c r="E11" s="9">
        <f>'2022a'!L11</f>
        <v>-9.8900317234700346</v>
      </c>
      <c r="F11" s="9">
        <f t="shared" si="0"/>
        <v>-4.9303840591699863</v>
      </c>
      <c r="G11" s="9">
        <f>E10</f>
        <v>-4.6052368239488706</v>
      </c>
      <c r="H11" s="9">
        <f t="shared" si="1"/>
        <v>-9.8900317234700346</v>
      </c>
    </row>
    <row r="12" spans="1:10" ht="15.6" x14ac:dyDescent="0.3">
      <c r="A12" s="13"/>
      <c r="B12" s="1" t="s">
        <v>144</v>
      </c>
      <c r="C12" s="1"/>
      <c r="D12" s="9">
        <f>'2021a'!L12</f>
        <v>-7.0568269764342659</v>
      </c>
      <c r="E12" s="9">
        <f>'2022a'!L12</f>
        <v>-3.675639418432092</v>
      </c>
      <c r="F12" s="9">
        <f t="shared" si="0"/>
        <v>-7.0568269764342659</v>
      </c>
      <c r="G12" s="9">
        <f>E11</f>
        <v>-9.8900317234700346</v>
      </c>
      <c r="H12" s="9">
        <f t="shared" si="1"/>
        <v>-3.675639418432092</v>
      </c>
    </row>
    <row r="13" spans="1:10" ht="15.6" x14ac:dyDescent="0.3">
      <c r="A13" s="2" t="s">
        <v>134</v>
      </c>
      <c r="B13" s="1" t="s">
        <v>145</v>
      </c>
      <c r="C13" s="1"/>
      <c r="D13" s="9">
        <f>'2021a'!L13</f>
        <v>-9.840932211967683</v>
      </c>
      <c r="E13" s="9">
        <f>'2022a'!L13</f>
        <v>-6.543273408034155</v>
      </c>
      <c r="F13" s="9">
        <f t="shared" si="0"/>
        <v>-9.840932211967683</v>
      </c>
      <c r="G13" s="9">
        <f>E14</f>
        <v>-6.8268971984614497</v>
      </c>
      <c r="H13" s="9">
        <f t="shared" si="1"/>
        <v>-6.543273408034155</v>
      </c>
    </row>
    <row r="14" spans="1:10" ht="15.6" x14ac:dyDescent="0.3">
      <c r="A14" s="13"/>
      <c r="B14" s="1" t="s">
        <v>146</v>
      </c>
      <c r="C14" s="1"/>
      <c r="D14" s="9">
        <f>'2021a'!L14</f>
        <v>1.1225286787023721</v>
      </c>
      <c r="E14" s="9">
        <f>'2022a'!L14</f>
        <v>-6.8268971984614497</v>
      </c>
      <c r="F14" s="9">
        <f t="shared" si="0"/>
        <v>1.1225286787023721</v>
      </c>
      <c r="G14" s="9">
        <f>E13</f>
        <v>-6.543273408034155</v>
      </c>
      <c r="H14" s="9">
        <f t="shared" si="1"/>
        <v>-6.8268971984614497</v>
      </c>
    </row>
    <row r="15" spans="1:10" ht="15.6" x14ac:dyDescent="0.3">
      <c r="A15" s="13"/>
      <c r="B15" s="1" t="s">
        <v>147</v>
      </c>
      <c r="C15" s="1"/>
      <c r="D15" s="9">
        <f>'2021a'!L15</f>
        <v>-13.795957539442874</v>
      </c>
      <c r="E15" s="9">
        <f>'2022a'!L15</f>
        <v>-4.0278266903423727</v>
      </c>
      <c r="F15" s="9">
        <f t="shared" si="0"/>
        <v>-13.795957539442874</v>
      </c>
      <c r="G15" s="9">
        <f>E14</f>
        <v>-6.8268971984614497</v>
      </c>
      <c r="H15" s="9">
        <f t="shared" si="1"/>
        <v>-4.0278266903423727</v>
      </c>
    </row>
    <row r="16" spans="1:10" ht="15.6" x14ac:dyDescent="0.3">
      <c r="A16" s="2" t="s">
        <v>135</v>
      </c>
      <c r="B16" s="21" t="s">
        <v>148</v>
      </c>
      <c r="C16" s="1"/>
      <c r="D16" s="9">
        <f>'2021a'!L16</f>
        <v>-6.0804868015180489</v>
      </c>
      <c r="E16" s="9">
        <f>'2022a'!L16</f>
        <v>13.646952974288325</v>
      </c>
      <c r="F16" s="9">
        <f t="shared" si="0"/>
        <v>-6.0804868015180489</v>
      </c>
      <c r="G16" s="9">
        <f>E17</f>
        <v>9.5011013245923479</v>
      </c>
      <c r="H16" s="9">
        <f t="shared" si="1"/>
        <v>13.646952974288325</v>
      </c>
    </row>
    <row r="17" spans="1:15" ht="15.6" x14ac:dyDescent="0.3">
      <c r="A17" s="13" t="s">
        <v>136</v>
      </c>
      <c r="B17" s="21" t="s">
        <v>149</v>
      </c>
      <c r="C17" s="1"/>
      <c r="D17" s="9">
        <f>'2021a'!L17</f>
        <v>7.8761850606564909</v>
      </c>
      <c r="E17" s="9">
        <f>'2022a'!L17</f>
        <v>9.5011013245923479</v>
      </c>
      <c r="F17" s="9">
        <f t="shared" si="0"/>
        <v>7.8761850606564909</v>
      </c>
      <c r="G17" s="9">
        <f>E16</f>
        <v>13.646952974288325</v>
      </c>
      <c r="H17" s="9">
        <f t="shared" si="1"/>
        <v>9.5011013245923479</v>
      </c>
    </row>
    <row r="18" spans="1:15" ht="15.6" x14ac:dyDescent="0.3">
      <c r="A18" s="13"/>
      <c r="B18" s="22" t="s">
        <v>150</v>
      </c>
      <c r="C18" s="1"/>
      <c r="D18" s="9">
        <f>'2021a'!L18</f>
        <v>5.2214559290029374</v>
      </c>
      <c r="E18" s="9">
        <f>'2022a'!L18</f>
        <v>-6.9784191344615536</v>
      </c>
      <c r="F18" s="9">
        <f t="shared" si="0"/>
        <v>5.2214559290029374</v>
      </c>
      <c r="G18" s="9">
        <f>E17</f>
        <v>9.5011013245923479</v>
      </c>
      <c r="H18" s="9">
        <f t="shared" si="1"/>
        <v>-6.9784191344615536</v>
      </c>
    </row>
    <row r="19" spans="1:15" ht="15.6" x14ac:dyDescent="0.3">
      <c r="A19" s="7"/>
      <c r="B19" s="1"/>
      <c r="C19" s="1"/>
      <c r="D19" s="9"/>
      <c r="E19" s="9"/>
      <c r="F19" s="9"/>
      <c r="G19" s="9"/>
      <c r="H19" s="9"/>
    </row>
    <row r="22" spans="1:15" ht="15.6" x14ac:dyDescent="0.3">
      <c r="A22" s="29" t="s">
        <v>243</v>
      </c>
    </row>
    <row r="24" spans="1:15" ht="15.6" x14ac:dyDescent="0.3">
      <c r="A24" s="2" t="s">
        <v>123</v>
      </c>
      <c r="B24" s="2" t="s">
        <v>124</v>
      </c>
      <c r="C24" s="3" t="s">
        <v>231</v>
      </c>
      <c r="D24" s="111" t="s">
        <v>232</v>
      </c>
      <c r="E24" s="112"/>
      <c r="F24" s="112"/>
      <c r="G24" s="112"/>
      <c r="H24" s="112"/>
      <c r="I24" s="112"/>
      <c r="J24" s="112"/>
      <c r="K24" s="112"/>
      <c r="L24" s="112"/>
      <c r="M24" s="112"/>
      <c r="N24" s="113"/>
      <c r="O24" s="3" t="s">
        <v>234</v>
      </c>
    </row>
    <row r="25" spans="1:15" ht="15.6" x14ac:dyDescent="0.3">
      <c r="A25" s="7"/>
      <c r="B25" s="7"/>
      <c r="C25" s="8" t="s">
        <v>8</v>
      </c>
      <c r="D25" s="9" t="s">
        <v>12</v>
      </c>
      <c r="E25" s="9" t="s">
        <v>13</v>
      </c>
      <c r="F25" s="9" t="s">
        <v>14</v>
      </c>
      <c r="G25" s="9" t="s">
        <v>16</v>
      </c>
      <c r="H25" s="9" t="s">
        <v>17</v>
      </c>
      <c r="I25" s="9" t="s">
        <v>18</v>
      </c>
      <c r="J25" s="9" t="s">
        <v>19</v>
      </c>
      <c r="K25" s="9" t="s">
        <v>20</v>
      </c>
      <c r="L25" s="9" t="s">
        <v>21</v>
      </c>
      <c r="M25" s="9" t="s">
        <v>22</v>
      </c>
      <c r="N25" s="9" t="s">
        <v>23</v>
      </c>
      <c r="O25" s="8" t="s">
        <v>8</v>
      </c>
    </row>
    <row r="26" spans="1:15" ht="15.6" x14ac:dyDescent="0.3">
      <c r="A26" s="2" t="s">
        <v>132</v>
      </c>
      <c r="B26" s="1" t="s">
        <v>137</v>
      </c>
      <c r="C26" s="1">
        <f>F5</f>
        <v>-0.37383878957013295</v>
      </c>
      <c r="D26" s="1"/>
      <c r="E26" s="1"/>
      <c r="F26" s="1"/>
      <c r="G26" s="1"/>
      <c r="H26" s="1">
        <f>-(C26)/3</f>
        <v>0.12461292985671098</v>
      </c>
      <c r="I26" s="37">
        <f>(C26+3)/3</f>
        <v>0.87538707014328898</v>
      </c>
      <c r="J26" s="1"/>
      <c r="K26" s="1"/>
      <c r="L26" s="1"/>
      <c r="M26" s="1"/>
      <c r="N26" s="14"/>
      <c r="O26" s="14" t="s">
        <v>18</v>
      </c>
    </row>
    <row r="27" spans="1:15" ht="15.6" x14ac:dyDescent="0.3">
      <c r="A27" s="7"/>
      <c r="B27" s="1" t="s">
        <v>138</v>
      </c>
      <c r="C27" s="1">
        <f t="shared" ref="C27:C39" si="2">F6</f>
        <v>-3.8646589063343644</v>
      </c>
      <c r="D27" s="1"/>
      <c r="E27" s="1"/>
      <c r="F27" s="1"/>
      <c r="G27" s="1">
        <f>(-3-C27)/3</f>
        <v>0.28821963544478812</v>
      </c>
      <c r="H27" s="37">
        <f>(C27+6)/3</f>
        <v>0.71178036455521188</v>
      </c>
      <c r="I27" s="1"/>
      <c r="J27" s="1"/>
      <c r="K27" s="1"/>
      <c r="L27" s="1"/>
      <c r="M27" s="1"/>
      <c r="N27" s="1"/>
      <c r="O27" s="14" t="s">
        <v>17</v>
      </c>
    </row>
    <row r="28" spans="1:15" ht="15.6" x14ac:dyDescent="0.3">
      <c r="A28" s="2" t="s">
        <v>133</v>
      </c>
      <c r="B28" s="1" t="s">
        <v>139</v>
      </c>
      <c r="C28" s="1">
        <f t="shared" si="2"/>
        <v>-2.3990195608021483</v>
      </c>
      <c r="D28" s="1"/>
      <c r="E28" s="1"/>
      <c r="F28" s="37"/>
      <c r="G28" s="1"/>
      <c r="H28" s="37">
        <f>-(C28)/3</f>
        <v>0.79967318693404943</v>
      </c>
      <c r="I28" s="1">
        <f>(C28+3)/3</f>
        <v>0.20032681306595057</v>
      </c>
      <c r="J28" s="1"/>
      <c r="K28" s="1"/>
      <c r="L28" s="1"/>
      <c r="M28" s="1"/>
      <c r="N28" s="14"/>
      <c r="O28" s="14" t="s">
        <v>17</v>
      </c>
    </row>
    <row r="29" spans="1:15" ht="15.6" x14ac:dyDescent="0.3">
      <c r="A29" s="13"/>
      <c r="B29" s="1" t="s">
        <v>140</v>
      </c>
      <c r="C29" s="1">
        <f t="shared" si="2"/>
        <v>-0.44835353425667712</v>
      </c>
      <c r="D29" s="1"/>
      <c r="E29" s="37"/>
      <c r="F29" s="1"/>
      <c r="G29" s="1"/>
      <c r="H29" s="1">
        <f>-(C29)/3</f>
        <v>0.14945117808555905</v>
      </c>
      <c r="I29" s="37">
        <f>(C29+3)/3</f>
        <v>0.85054882191444092</v>
      </c>
      <c r="J29" s="1"/>
      <c r="K29" s="1"/>
      <c r="L29" s="1"/>
      <c r="M29" s="1"/>
      <c r="N29" s="1"/>
      <c r="O29" s="14" t="s">
        <v>18</v>
      </c>
    </row>
    <row r="30" spans="1:15" ht="15.6" x14ac:dyDescent="0.3">
      <c r="A30" s="13"/>
      <c r="B30" s="1" t="s">
        <v>141</v>
      </c>
      <c r="C30" s="1">
        <f t="shared" si="2"/>
        <v>-8.1964196019462623</v>
      </c>
      <c r="D30" s="1"/>
      <c r="E30" s="1"/>
      <c r="F30" s="37">
        <f>(-6-(C30))/3</f>
        <v>0.7321398673154208</v>
      </c>
      <c r="G30" s="1">
        <f>(C30+9)/3</f>
        <v>0.26786013268457926</v>
      </c>
      <c r="H30" s="1"/>
      <c r="I30" s="1"/>
      <c r="J30" s="1"/>
      <c r="K30" s="1"/>
      <c r="L30" s="1"/>
      <c r="M30" s="1"/>
      <c r="N30" s="1"/>
      <c r="O30" s="14" t="s">
        <v>14</v>
      </c>
    </row>
    <row r="31" spans="1:15" ht="15.6" x14ac:dyDescent="0.3">
      <c r="A31" s="13"/>
      <c r="B31" s="1" t="s">
        <v>142</v>
      </c>
      <c r="C31" s="1">
        <f t="shared" si="2"/>
        <v>-5.5194505840590224</v>
      </c>
      <c r="D31" s="1"/>
      <c r="E31" s="1"/>
      <c r="F31" s="37"/>
      <c r="G31" s="37">
        <f>(-3-C31)/3</f>
        <v>0.83981686135300748</v>
      </c>
      <c r="H31" s="1">
        <f>(C31+6)/3</f>
        <v>0.16018313864699252</v>
      </c>
      <c r="I31" s="1"/>
      <c r="J31" s="1"/>
      <c r="K31" s="1"/>
      <c r="L31" s="1"/>
      <c r="M31" s="1"/>
      <c r="N31" s="1"/>
      <c r="O31" s="14" t="s">
        <v>16</v>
      </c>
    </row>
    <row r="32" spans="1:15" ht="15.6" x14ac:dyDescent="0.3">
      <c r="A32" s="13"/>
      <c r="B32" s="1" t="s">
        <v>143</v>
      </c>
      <c r="C32" s="1">
        <f t="shared" si="2"/>
        <v>-4.9303840591699863</v>
      </c>
      <c r="D32" s="1"/>
      <c r="E32" s="1"/>
      <c r="F32" s="37"/>
      <c r="G32" s="37">
        <f>(-3-C32)/3</f>
        <v>0.64346135305666208</v>
      </c>
      <c r="H32" s="1">
        <f>(C32+6)/3</f>
        <v>0.35653864694333787</v>
      </c>
      <c r="I32" s="1"/>
      <c r="J32" s="1"/>
      <c r="K32" s="1"/>
      <c r="L32" s="1"/>
      <c r="M32" s="1"/>
      <c r="N32" s="1"/>
      <c r="O32" s="14" t="s">
        <v>16</v>
      </c>
    </row>
    <row r="33" spans="1:15" ht="15.6" x14ac:dyDescent="0.3">
      <c r="A33" s="13"/>
      <c r="B33" s="1" t="s">
        <v>144</v>
      </c>
      <c r="C33" s="1">
        <f t="shared" si="2"/>
        <v>-7.0568269764342659</v>
      </c>
      <c r="D33" s="1"/>
      <c r="E33" s="1"/>
      <c r="F33" s="1">
        <f>(-6-(C33))/3</f>
        <v>0.35227565881142198</v>
      </c>
      <c r="G33" s="37">
        <f>(C33+9)/3</f>
        <v>0.64772434118857802</v>
      </c>
      <c r="H33" s="37"/>
      <c r="I33" s="1"/>
      <c r="J33" s="1"/>
      <c r="K33" s="1"/>
      <c r="L33" s="1"/>
      <c r="M33" s="1"/>
      <c r="N33" s="1"/>
      <c r="O33" s="14" t="s">
        <v>16</v>
      </c>
    </row>
    <row r="34" spans="1:15" ht="15.6" x14ac:dyDescent="0.3">
      <c r="A34" s="2" t="s">
        <v>134</v>
      </c>
      <c r="B34" s="1" t="s">
        <v>145</v>
      </c>
      <c r="C34" s="1">
        <f t="shared" si="2"/>
        <v>-9.840932211967683</v>
      </c>
      <c r="D34" s="1"/>
      <c r="E34" s="1">
        <f>(-9-C34)/3</f>
        <v>0.28031073732256101</v>
      </c>
      <c r="F34" s="37">
        <f>(C34+12)/3</f>
        <v>0.71968926267743905</v>
      </c>
      <c r="G34" s="37"/>
      <c r="H34" s="1"/>
      <c r="I34" s="1"/>
      <c r="J34" s="1"/>
      <c r="K34" s="1"/>
      <c r="L34" s="1"/>
      <c r="M34" s="1"/>
      <c r="N34" s="1"/>
      <c r="O34" s="14" t="s">
        <v>14</v>
      </c>
    </row>
    <row r="35" spans="1:15" ht="15.6" x14ac:dyDescent="0.3">
      <c r="A35" s="13"/>
      <c r="B35" s="1" t="s">
        <v>146</v>
      </c>
      <c r="C35" s="1">
        <f t="shared" si="2"/>
        <v>1.1225286787023721</v>
      </c>
      <c r="D35" s="1"/>
      <c r="E35" s="1"/>
      <c r="F35" s="1"/>
      <c r="G35" s="37"/>
      <c r="H35" s="1"/>
      <c r="I35" s="37">
        <f>(3-C35)/3</f>
        <v>0.62582377376587595</v>
      </c>
      <c r="J35" s="1">
        <f>C35/3</f>
        <v>0.374176226234124</v>
      </c>
      <c r="K35" s="1"/>
      <c r="L35" s="1"/>
      <c r="M35" s="1"/>
      <c r="N35" s="1"/>
      <c r="O35" s="14" t="s">
        <v>18</v>
      </c>
    </row>
    <row r="36" spans="1:15" ht="15.6" x14ac:dyDescent="0.3">
      <c r="A36" s="13"/>
      <c r="B36" s="1" t="s">
        <v>147</v>
      </c>
      <c r="C36" s="1">
        <f t="shared" si="2"/>
        <v>-13.795957539442874</v>
      </c>
      <c r="D36" s="49">
        <f>(-12-C36)/3</f>
        <v>0.59865251314762469</v>
      </c>
      <c r="E36" s="1">
        <f>(C36+15)/3</f>
        <v>0.40134748685237537</v>
      </c>
      <c r="F36" s="1"/>
      <c r="G36" s="1"/>
      <c r="H36" s="37"/>
      <c r="I36" s="1"/>
      <c r="J36" s="1"/>
      <c r="K36" s="1"/>
      <c r="L36" s="1"/>
      <c r="M36" s="1"/>
      <c r="N36" s="1"/>
      <c r="O36" s="14" t="s">
        <v>12</v>
      </c>
    </row>
    <row r="37" spans="1:15" ht="15.6" x14ac:dyDescent="0.3">
      <c r="A37" s="2" t="s">
        <v>135</v>
      </c>
      <c r="B37" s="21" t="s">
        <v>148</v>
      </c>
      <c r="C37" s="1">
        <f t="shared" si="2"/>
        <v>-6.0804868015180489</v>
      </c>
      <c r="D37" s="1"/>
      <c r="E37" s="1"/>
      <c r="F37" s="1">
        <f>(-6-(C37))/3</f>
        <v>2.6828933839349627E-2</v>
      </c>
      <c r="G37" s="37">
        <f>(C37+9)/3</f>
        <v>0.97317106616065041</v>
      </c>
      <c r="H37" s="1"/>
      <c r="I37" s="1"/>
      <c r="J37" s="1"/>
      <c r="K37" s="1"/>
      <c r="L37" s="1"/>
      <c r="M37" s="1"/>
      <c r="N37" s="37"/>
      <c r="O37" s="14" t="s">
        <v>16</v>
      </c>
    </row>
    <row r="38" spans="1:15" ht="15.6" x14ac:dyDescent="0.3">
      <c r="A38" s="13" t="s">
        <v>136</v>
      </c>
      <c r="B38" s="21" t="s">
        <v>149</v>
      </c>
      <c r="C38" s="1">
        <f t="shared" si="2"/>
        <v>7.8761850606564909</v>
      </c>
      <c r="D38" s="1"/>
      <c r="E38" s="1"/>
      <c r="F38" s="1"/>
      <c r="G38" s="1"/>
      <c r="H38" s="1"/>
      <c r="I38" s="1"/>
      <c r="J38" s="1"/>
      <c r="K38" s="1">
        <f>(9-C38)/3</f>
        <v>0.37460497978116969</v>
      </c>
      <c r="L38" s="37">
        <f>(C38-6)/3</f>
        <v>0.62539502021883031</v>
      </c>
      <c r="M38" s="1"/>
      <c r="N38" s="9"/>
      <c r="O38" s="14" t="s">
        <v>21</v>
      </c>
    </row>
    <row r="39" spans="1:15" ht="15.6" x14ac:dyDescent="0.3">
      <c r="A39" s="13"/>
      <c r="B39" s="22" t="s">
        <v>150</v>
      </c>
      <c r="C39" s="1">
        <f t="shared" si="2"/>
        <v>5.2214559290029374</v>
      </c>
      <c r="D39" s="1"/>
      <c r="E39" s="1"/>
      <c r="F39" s="1"/>
      <c r="G39" s="37"/>
      <c r="H39" s="1"/>
      <c r="I39" s="1"/>
      <c r="J39" s="1">
        <f>(6-C39)/3</f>
        <v>0.25951469033235419</v>
      </c>
      <c r="K39" s="37">
        <f>(C39-3)/3</f>
        <v>0.74048530966764581</v>
      </c>
      <c r="L39" s="1"/>
      <c r="M39" s="1"/>
      <c r="N39" s="1"/>
      <c r="O39" s="14" t="s">
        <v>20</v>
      </c>
    </row>
    <row r="40" spans="1:15" ht="15.6" x14ac:dyDescent="0.3">
      <c r="A40" s="7"/>
      <c r="B40" s="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</row>
    <row r="41" spans="1:15" ht="15.6" x14ac:dyDescent="0.3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ht="15.6" x14ac:dyDescent="0.3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ht="15.6" x14ac:dyDescent="0.3">
      <c r="A43" s="29" t="s">
        <v>244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15.6" x14ac:dyDescent="0.3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ht="15.6" x14ac:dyDescent="0.3">
      <c r="A45" s="2" t="s">
        <v>123</v>
      </c>
      <c r="B45" s="2" t="s">
        <v>124</v>
      </c>
      <c r="C45" s="3" t="s">
        <v>231</v>
      </c>
      <c r="D45" s="111" t="s">
        <v>232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3"/>
      <c r="O45" s="3" t="s">
        <v>234</v>
      </c>
    </row>
    <row r="46" spans="1:15" ht="15.6" x14ac:dyDescent="0.3">
      <c r="A46" s="7"/>
      <c r="B46" s="7"/>
      <c r="C46" s="8" t="s">
        <v>9</v>
      </c>
      <c r="D46" s="9" t="s">
        <v>12</v>
      </c>
      <c r="E46" s="9" t="s">
        <v>13</v>
      </c>
      <c r="F46" s="9" t="s">
        <v>14</v>
      </c>
      <c r="G46" s="9" t="s">
        <v>16</v>
      </c>
      <c r="H46" s="9" t="s">
        <v>17</v>
      </c>
      <c r="I46" s="9" t="s">
        <v>18</v>
      </c>
      <c r="J46" s="9" t="s">
        <v>19</v>
      </c>
      <c r="K46" s="9" t="s">
        <v>20</v>
      </c>
      <c r="L46" s="9" t="s">
        <v>21</v>
      </c>
      <c r="M46" s="9" t="s">
        <v>22</v>
      </c>
      <c r="N46" s="9" t="s">
        <v>23</v>
      </c>
      <c r="O46" s="8" t="s">
        <v>9</v>
      </c>
    </row>
    <row r="47" spans="1:15" ht="15.6" x14ac:dyDescent="0.3">
      <c r="A47" s="2" t="s">
        <v>132</v>
      </c>
      <c r="B47" s="1" t="s">
        <v>138</v>
      </c>
      <c r="C47" s="1">
        <f>G5</f>
        <v>-6.0942730339893503</v>
      </c>
      <c r="D47" s="14"/>
      <c r="E47" s="1"/>
      <c r="F47" s="1">
        <f>(-6-(C47))/3</f>
        <v>3.1424344663116756E-2</v>
      </c>
      <c r="G47" s="37">
        <f>(C47+9)/3</f>
        <v>0.96857565533688328</v>
      </c>
      <c r="H47" s="14"/>
      <c r="I47" s="14"/>
      <c r="J47" s="14"/>
      <c r="K47" s="14"/>
      <c r="L47" s="14"/>
      <c r="M47" s="14"/>
      <c r="N47" s="14"/>
      <c r="O47" s="14" t="s">
        <v>16</v>
      </c>
    </row>
    <row r="48" spans="1:15" ht="15.6" x14ac:dyDescent="0.3">
      <c r="A48" s="7"/>
      <c r="B48" s="1" t="s">
        <v>137</v>
      </c>
      <c r="C48" s="1">
        <f t="shared" ref="C48:C60" si="3">G6</f>
        <v>-0.48006313905753739</v>
      </c>
      <c r="D48" s="14"/>
      <c r="E48" s="37"/>
      <c r="F48" s="1"/>
      <c r="G48" s="14"/>
      <c r="H48" s="1">
        <f>-(C48)/3</f>
        <v>0.16002104635251246</v>
      </c>
      <c r="I48" s="37">
        <f>(C48+3)/3</f>
        <v>0.83997895364748754</v>
      </c>
      <c r="J48" s="14"/>
      <c r="K48" s="14"/>
      <c r="L48" s="14"/>
      <c r="M48" s="14"/>
      <c r="N48" s="14"/>
      <c r="O48" s="14" t="s">
        <v>18</v>
      </c>
    </row>
    <row r="49" spans="1:15" ht="15.6" x14ac:dyDescent="0.3">
      <c r="A49" s="2" t="s">
        <v>133</v>
      </c>
      <c r="B49" s="1" t="s">
        <v>144</v>
      </c>
      <c r="C49" s="1">
        <f t="shared" si="3"/>
        <v>-3.675639418432092</v>
      </c>
      <c r="D49" s="14"/>
      <c r="E49" s="14"/>
      <c r="F49" s="14"/>
      <c r="G49" s="1">
        <f>(-3-C49)/3</f>
        <v>0.22521313947736399</v>
      </c>
      <c r="H49" s="37">
        <f>(C49+6)/3</f>
        <v>0.77478686052263601</v>
      </c>
      <c r="I49" s="1"/>
      <c r="J49" s="14"/>
      <c r="K49" s="14"/>
      <c r="L49" s="14"/>
      <c r="M49" s="14"/>
      <c r="N49" s="14"/>
      <c r="O49" s="14" t="s">
        <v>17</v>
      </c>
    </row>
    <row r="50" spans="1:15" ht="15.6" x14ac:dyDescent="0.3">
      <c r="A50" s="13"/>
      <c r="B50" s="1" t="s">
        <v>139</v>
      </c>
      <c r="C50" s="1">
        <f t="shared" si="3"/>
        <v>-9.989336370421352</v>
      </c>
      <c r="D50" s="14"/>
      <c r="E50" s="1">
        <f>(-9-C50)/3</f>
        <v>0.32977879014045069</v>
      </c>
      <c r="F50" s="37">
        <f>(C50+12)/3</f>
        <v>0.67022120985954936</v>
      </c>
      <c r="G50" s="14"/>
      <c r="H50" s="14"/>
      <c r="I50" s="14"/>
      <c r="J50" s="14"/>
      <c r="K50" s="14"/>
      <c r="L50" s="14"/>
      <c r="M50" s="14"/>
      <c r="N50" s="14"/>
      <c r="O50" s="14" t="s">
        <v>14</v>
      </c>
    </row>
    <row r="51" spans="1:15" ht="15.6" x14ac:dyDescent="0.3">
      <c r="A51" s="13"/>
      <c r="B51" s="1" t="s">
        <v>140</v>
      </c>
      <c r="C51" s="1">
        <f t="shared" si="3"/>
        <v>-11.538678432734283</v>
      </c>
      <c r="D51" s="14"/>
      <c r="E51" s="37">
        <f>(-9-C51)/3</f>
        <v>0.84622614424476106</v>
      </c>
      <c r="F51" s="1">
        <f>(C51+12)/3</f>
        <v>0.15377385575523897</v>
      </c>
      <c r="G51" s="14"/>
      <c r="H51" s="14"/>
      <c r="I51" s="14"/>
      <c r="J51" s="14"/>
      <c r="K51" s="14"/>
      <c r="L51" s="14"/>
      <c r="M51" s="14"/>
      <c r="N51" s="14"/>
      <c r="O51" s="14" t="s">
        <v>13</v>
      </c>
    </row>
    <row r="52" spans="1:15" ht="15.6" x14ac:dyDescent="0.3">
      <c r="A52" s="13"/>
      <c r="B52" s="1" t="s">
        <v>141</v>
      </c>
      <c r="C52" s="1">
        <f t="shared" si="3"/>
        <v>-10.18752226587625</v>
      </c>
      <c r="D52" s="14"/>
      <c r="E52" s="1">
        <f>(-9-C52)/3</f>
        <v>0.39584075529208346</v>
      </c>
      <c r="F52" s="37">
        <f>(C52+12)/3</f>
        <v>0.6041592447079166</v>
      </c>
      <c r="G52" s="14"/>
      <c r="H52" s="14"/>
      <c r="I52" s="14"/>
      <c r="J52" s="14"/>
      <c r="K52" s="14"/>
      <c r="L52" s="14"/>
      <c r="M52" s="14"/>
      <c r="N52" s="14"/>
      <c r="O52" s="14" t="s">
        <v>14</v>
      </c>
    </row>
    <row r="53" spans="1:15" ht="15.6" x14ac:dyDescent="0.3">
      <c r="A53" s="13"/>
      <c r="B53" s="1" t="s">
        <v>142</v>
      </c>
      <c r="C53" s="1">
        <f t="shared" si="3"/>
        <v>-4.6052368239488706</v>
      </c>
      <c r="D53" s="14"/>
      <c r="E53" s="14"/>
      <c r="F53" s="14"/>
      <c r="G53" s="14">
        <f>(-3-C53)/3</f>
        <v>0.53507894131629019</v>
      </c>
      <c r="H53" s="37">
        <f>(C53+6)/3</f>
        <v>0.46492105868370981</v>
      </c>
      <c r="I53" s="1"/>
      <c r="J53" s="14"/>
      <c r="K53" s="14"/>
      <c r="L53" s="14"/>
      <c r="M53" s="14"/>
      <c r="N53" s="14"/>
      <c r="O53" s="14" t="s">
        <v>17</v>
      </c>
    </row>
    <row r="54" spans="1:15" ht="15.6" x14ac:dyDescent="0.3">
      <c r="A54" s="13"/>
      <c r="B54" s="1" t="s">
        <v>143</v>
      </c>
      <c r="C54" s="1">
        <f t="shared" si="3"/>
        <v>-9.8900317234700346</v>
      </c>
      <c r="D54" s="14"/>
      <c r="E54" s="1">
        <f>(-9-C54)/3</f>
        <v>0.29667724115667821</v>
      </c>
      <c r="F54" s="37">
        <f>(C54+12)/3</f>
        <v>0.70332275884332185</v>
      </c>
      <c r="G54" s="14"/>
      <c r="H54" s="14"/>
      <c r="I54" s="14"/>
      <c r="J54" s="14"/>
      <c r="K54" s="14"/>
      <c r="L54" s="14"/>
      <c r="M54" s="14"/>
      <c r="N54" s="14"/>
      <c r="O54" s="14" t="s">
        <v>14</v>
      </c>
    </row>
    <row r="55" spans="1:15" ht="15.6" x14ac:dyDescent="0.3">
      <c r="A55" s="2" t="s">
        <v>134</v>
      </c>
      <c r="B55" s="1" t="s">
        <v>146</v>
      </c>
      <c r="C55" s="1">
        <f t="shared" si="3"/>
        <v>-6.8268971984614497</v>
      </c>
      <c r="D55" s="14"/>
      <c r="E55" s="14"/>
      <c r="F55" s="14">
        <f>(-6-C55)/3</f>
        <v>0.2756323994871499</v>
      </c>
      <c r="G55" s="49">
        <f>(C55+9)/3</f>
        <v>0.7243676005128501</v>
      </c>
      <c r="H55" s="1"/>
      <c r="I55" s="14"/>
      <c r="J55" s="14"/>
      <c r="K55" s="14"/>
      <c r="L55" s="14"/>
      <c r="M55" s="14"/>
      <c r="N55" s="14"/>
      <c r="O55" s="14" t="s">
        <v>16</v>
      </c>
    </row>
    <row r="56" spans="1:15" ht="15.6" x14ac:dyDescent="0.3">
      <c r="A56" s="13"/>
      <c r="B56" s="1" t="s">
        <v>145</v>
      </c>
      <c r="C56" s="1">
        <f t="shared" si="3"/>
        <v>-6.543273408034155</v>
      </c>
      <c r="D56" s="14"/>
      <c r="E56" s="1"/>
      <c r="F56" s="14">
        <f>(-6-C56)/3</f>
        <v>0.18109113601138502</v>
      </c>
      <c r="G56" s="49">
        <f>(C56+9)/3</f>
        <v>0.81890886398861495</v>
      </c>
      <c r="H56" s="14"/>
      <c r="I56" s="14"/>
      <c r="J56" s="14"/>
      <c r="K56" s="14"/>
      <c r="L56" s="14"/>
      <c r="M56" s="14"/>
      <c r="N56" s="14"/>
      <c r="O56" s="14" t="s">
        <v>16</v>
      </c>
    </row>
    <row r="57" spans="1:15" ht="15.6" x14ac:dyDescent="0.3">
      <c r="A57" s="13"/>
      <c r="B57" s="1" t="s">
        <v>146</v>
      </c>
      <c r="C57" s="1">
        <f t="shared" si="3"/>
        <v>-6.8268971984614497</v>
      </c>
      <c r="D57" s="14"/>
      <c r="E57" s="14"/>
      <c r="F57" s="14">
        <f>(-6-C57)/3</f>
        <v>0.2756323994871499</v>
      </c>
      <c r="G57" s="49">
        <f>(C57+9)/3</f>
        <v>0.7243676005128501</v>
      </c>
      <c r="H57" s="14"/>
      <c r="I57" s="14"/>
      <c r="J57" s="14"/>
      <c r="K57" s="14"/>
      <c r="L57" s="14"/>
      <c r="M57" s="14"/>
      <c r="N57" s="14"/>
      <c r="O57" s="14" t="s">
        <v>16</v>
      </c>
    </row>
    <row r="58" spans="1:15" ht="15.6" x14ac:dyDescent="0.3">
      <c r="A58" s="2" t="s">
        <v>135</v>
      </c>
      <c r="B58" s="21" t="s">
        <v>149</v>
      </c>
      <c r="C58" s="1">
        <f t="shared" si="3"/>
        <v>9.5011013245923479</v>
      </c>
      <c r="D58" s="14"/>
      <c r="E58" s="37"/>
      <c r="F58" s="1"/>
      <c r="G58" s="14"/>
      <c r="H58" s="14"/>
      <c r="I58" s="14"/>
      <c r="J58" s="14"/>
      <c r="K58" s="14"/>
      <c r="L58" s="49">
        <f>(12-C58)/3</f>
        <v>0.83296622513588403</v>
      </c>
      <c r="M58" s="14">
        <f>(C58-9)/3</f>
        <v>0.16703377486411597</v>
      </c>
      <c r="N58" s="14"/>
      <c r="O58" s="14" t="s">
        <v>21</v>
      </c>
    </row>
    <row r="59" spans="1:15" ht="15.6" x14ac:dyDescent="0.3">
      <c r="A59" s="13" t="s">
        <v>136</v>
      </c>
      <c r="B59" s="21" t="s">
        <v>148</v>
      </c>
      <c r="C59" s="1">
        <f t="shared" si="3"/>
        <v>13.646952974288325</v>
      </c>
      <c r="D59" s="14"/>
      <c r="E59" s="1"/>
      <c r="F59" s="37"/>
      <c r="G59" s="14"/>
      <c r="H59" s="14"/>
      <c r="I59" s="14"/>
      <c r="J59" s="14"/>
      <c r="K59" s="14"/>
      <c r="L59" s="14"/>
      <c r="M59" s="14">
        <f>(15-C59)/3</f>
        <v>0.45101567523722491</v>
      </c>
      <c r="N59" s="49">
        <f>(C59-12)/3</f>
        <v>0.54898432476277514</v>
      </c>
      <c r="O59" s="14" t="s">
        <v>23</v>
      </c>
    </row>
    <row r="60" spans="1:15" ht="15.6" x14ac:dyDescent="0.3">
      <c r="A60" s="13"/>
      <c r="B60" s="21" t="s">
        <v>149</v>
      </c>
      <c r="C60" s="1">
        <f t="shared" si="3"/>
        <v>9.5011013245923479</v>
      </c>
      <c r="D60" s="14"/>
      <c r="E60" s="37"/>
      <c r="F60" s="1"/>
      <c r="G60" s="14"/>
      <c r="H60" s="14"/>
      <c r="I60" s="14"/>
      <c r="J60" s="14"/>
      <c r="K60" s="14"/>
      <c r="L60" s="49">
        <f>(12-C60)/3</f>
        <v>0.83296622513588403</v>
      </c>
      <c r="M60" s="14">
        <f>(C60-9)/3</f>
        <v>0.16703377486411597</v>
      </c>
      <c r="N60" s="14"/>
      <c r="O60" s="14" t="s">
        <v>21</v>
      </c>
    </row>
    <row r="61" spans="1:15" ht="15.6" x14ac:dyDescent="0.3">
      <c r="A61" s="7"/>
      <c r="B61" s="21"/>
      <c r="C61" s="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6" x14ac:dyDescent="0.3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5.6" x14ac:dyDescent="0.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5.6" x14ac:dyDescent="0.3">
      <c r="A64" s="29" t="s">
        <v>245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5.6" x14ac:dyDescent="0.3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5.6" x14ac:dyDescent="0.3">
      <c r="A66" s="2" t="s">
        <v>123</v>
      </c>
      <c r="B66" s="2" t="s">
        <v>124</v>
      </c>
      <c r="C66" s="3" t="s">
        <v>231</v>
      </c>
      <c r="D66" s="111" t="s">
        <v>232</v>
      </c>
      <c r="E66" s="112"/>
      <c r="F66" s="112"/>
      <c r="G66" s="112"/>
      <c r="H66" s="112"/>
      <c r="I66" s="112"/>
      <c r="J66" s="112"/>
      <c r="K66" s="112"/>
      <c r="L66" s="112"/>
      <c r="M66" s="112"/>
      <c r="N66" s="113"/>
      <c r="O66" s="3" t="s">
        <v>234</v>
      </c>
    </row>
    <row r="67" spans="1:15" ht="15.6" x14ac:dyDescent="0.3">
      <c r="A67" s="7"/>
      <c r="B67" s="7"/>
      <c r="C67" s="8" t="s">
        <v>10</v>
      </c>
      <c r="D67" s="9" t="s">
        <v>12</v>
      </c>
      <c r="E67" s="9" t="s">
        <v>13</v>
      </c>
      <c r="F67" s="9" t="s">
        <v>14</v>
      </c>
      <c r="G67" s="9" t="s">
        <v>16</v>
      </c>
      <c r="H67" s="9" t="s">
        <v>17</v>
      </c>
      <c r="I67" s="9" t="s">
        <v>18</v>
      </c>
      <c r="J67" s="9" t="s">
        <v>19</v>
      </c>
      <c r="K67" s="9" t="s">
        <v>20</v>
      </c>
      <c r="L67" s="9" t="s">
        <v>21</v>
      </c>
      <c r="M67" s="9" t="s">
        <v>22</v>
      </c>
      <c r="N67" s="9" t="s">
        <v>23</v>
      </c>
      <c r="O67" s="8" t="s">
        <v>10</v>
      </c>
    </row>
    <row r="68" spans="1:15" ht="15.6" x14ac:dyDescent="0.3">
      <c r="A68" s="2" t="s">
        <v>132</v>
      </c>
      <c r="B68" s="1" t="s">
        <v>137</v>
      </c>
      <c r="C68" s="1">
        <f>H5</f>
        <v>-0.48006313905753739</v>
      </c>
      <c r="D68" s="14"/>
      <c r="E68" s="37"/>
      <c r="F68" s="1"/>
      <c r="G68" s="14"/>
      <c r="H68" s="1">
        <f>-(C68)/3</f>
        <v>0.16002104635251246</v>
      </c>
      <c r="I68" s="37">
        <f>(C68+3)/3</f>
        <v>0.83997895364748754</v>
      </c>
      <c r="J68" s="14"/>
      <c r="K68" s="14"/>
      <c r="L68" s="14"/>
      <c r="M68" s="14"/>
      <c r="N68" s="14"/>
      <c r="O68" s="14" t="s">
        <v>18</v>
      </c>
    </row>
    <row r="69" spans="1:15" ht="15.6" x14ac:dyDescent="0.3">
      <c r="A69" s="7"/>
      <c r="B69" s="1" t="s">
        <v>138</v>
      </c>
      <c r="C69" s="1">
        <f t="shared" ref="C69:C81" si="4">H6</f>
        <v>-6.0942730339893503</v>
      </c>
      <c r="D69" s="14"/>
      <c r="E69" s="1"/>
      <c r="F69" s="1">
        <f>(-6-(C69))/3</f>
        <v>3.1424344663116756E-2</v>
      </c>
      <c r="G69" s="37">
        <f>(C69+9)/3</f>
        <v>0.96857565533688328</v>
      </c>
      <c r="H69" s="14"/>
      <c r="I69" s="14"/>
      <c r="J69" s="14"/>
      <c r="K69" s="14"/>
      <c r="L69" s="14"/>
      <c r="M69" s="14"/>
      <c r="N69" s="14"/>
      <c r="O69" s="14" t="s">
        <v>16</v>
      </c>
    </row>
    <row r="70" spans="1:15" ht="15.6" x14ac:dyDescent="0.3">
      <c r="A70" s="2" t="s">
        <v>133</v>
      </c>
      <c r="B70" s="1" t="s">
        <v>139</v>
      </c>
      <c r="C70" s="1">
        <f t="shared" si="4"/>
        <v>-9.989336370421352</v>
      </c>
      <c r="D70" s="49"/>
      <c r="E70" s="1">
        <f>(-9-C70)/3</f>
        <v>0.32977879014045069</v>
      </c>
      <c r="F70" s="37">
        <f>(C70+12)/3</f>
        <v>0.67022120985954936</v>
      </c>
      <c r="G70" s="14"/>
      <c r="H70" s="14"/>
      <c r="I70" s="14"/>
      <c r="J70" s="14"/>
      <c r="K70" s="14"/>
      <c r="L70" s="14"/>
      <c r="M70" s="14"/>
      <c r="N70" s="14"/>
      <c r="O70" s="14" t="s">
        <v>14</v>
      </c>
    </row>
    <row r="71" spans="1:15" ht="15.6" x14ac:dyDescent="0.3">
      <c r="A71" s="13"/>
      <c r="B71" s="1" t="s">
        <v>140</v>
      </c>
      <c r="C71" s="1">
        <f t="shared" si="4"/>
        <v>-11.538678432734283</v>
      </c>
      <c r="D71" s="14"/>
      <c r="E71" s="37">
        <f>(-9-C71)/3</f>
        <v>0.84622614424476106</v>
      </c>
      <c r="F71" s="1">
        <f>(C71+12)/3</f>
        <v>0.15377385575523897</v>
      </c>
      <c r="G71" s="14"/>
      <c r="H71" s="14"/>
      <c r="I71" s="14"/>
      <c r="J71" s="14"/>
      <c r="K71" s="14"/>
      <c r="L71" s="14"/>
      <c r="M71" s="14"/>
      <c r="N71" s="14"/>
      <c r="O71" s="14" t="s">
        <v>13</v>
      </c>
    </row>
    <row r="72" spans="1:15" ht="15.6" x14ac:dyDescent="0.3">
      <c r="A72" s="13"/>
      <c r="B72" s="1" t="s">
        <v>141</v>
      </c>
      <c r="C72" s="1">
        <f t="shared" si="4"/>
        <v>-10.18752226587625</v>
      </c>
      <c r="D72" s="14"/>
      <c r="E72" s="1">
        <f>(-9-C72)/3</f>
        <v>0.39584075529208346</v>
      </c>
      <c r="F72" s="37">
        <f>(C72+12)/3</f>
        <v>0.6041592447079166</v>
      </c>
      <c r="G72" s="14"/>
      <c r="H72" s="14"/>
      <c r="I72" s="14"/>
      <c r="J72" s="14"/>
      <c r="K72" s="14"/>
      <c r="L72" s="14"/>
      <c r="M72" s="14"/>
      <c r="N72" s="14"/>
      <c r="O72" s="14" t="s">
        <v>14</v>
      </c>
    </row>
    <row r="73" spans="1:15" ht="15.6" x14ac:dyDescent="0.3">
      <c r="A73" s="13"/>
      <c r="B73" s="1" t="s">
        <v>142</v>
      </c>
      <c r="C73" s="1">
        <f t="shared" si="4"/>
        <v>-4.6052368239488706</v>
      </c>
      <c r="D73" s="14"/>
      <c r="E73" s="14"/>
      <c r="F73" s="14"/>
      <c r="G73" s="49">
        <f>(-3-C73)/3</f>
        <v>0.53507894131629019</v>
      </c>
      <c r="H73" s="1">
        <f>(C73+6)/3</f>
        <v>0.46492105868370981</v>
      </c>
      <c r="I73" s="14"/>
      <c r="J73" s="14"/>
      <c r="K73" s="14"/>
      <c r="L73" s="14"/>
      <c r="M73" s="14"/>
      <c r="N73" s="14"/>
      <c r="O73" s="14" t="s">
        <v>16</v>
      </c>
    </row>
    <row r="74" spans="1:15" ht="15.6" x14ac:dyDescent="0.3">
      <c r="A74" s="13"/>
      <c r="B74" s="1" t="s">
        <v>143</v>
      </c>
      <c r="C74" s="1">
        <f t="shared" si="4"/>
        <v>-9.8900317234700346</v>
      </c>
      <c r="D74" s="14"/>
      <c r="E74" s="1">
        <f>(-9-C74)/3</f>
        <v>0.29667724115667821</v>
      </c>
      <c r="F74" s="37">
        <f>(C74+12)/3</f>
        <v>0.70332275884332185</v>
      </c>
      <c r="G74" s="14"/>
      <c r="H74" s="14"/>
      <c r="I74" s="14"/>
      <c r="J74" s="14"/>
      <c r="K74" s="14"/>
      <c r="L74" s="14"/>
      <c r="M74" s="14"/>
      <c r="N74" s="14"/>
      <c r="O74" s="14" t="s">
        <v>14</v>
      </c>
    </row>
    <row r="75" spans="1:15" ht="15.6" x14ac:dyDescent="0.3">
      <c r="A75" s="13"/>
      <c r="B75" s="1" t="s">
        <v>144</v>
      </c>
      <c r="C75" s="1">
        <f t="shared" si="4"/>
        <v>-3.675639418432092</v>
      </c>
      <c r="D75" s="14"/>
      <c r="E75" s="14"/>
      <c r="F75" s="14"/>
      <c r="G75" s="1">
        <f>(-3-C75)/3</f>
        <v>0.22521313947736399</v>
      </c>
      <c r="H75" s="37">
        <f>(C75+6)/3</f>
        <v>0.77478686052263601</v>
      </c>
      <c r="I75" s="1"/>
      <c r="J75" s="14"/>
      <c r="K75" s="14"/>
      <c r="L75" s="14"/>
      <c r="M75" s="14"/>
      <c r="N75" s="14"/>
      <c r="O75" s="14" t="s">
        <v>17</v>
      </c>
    </row>
    <row r="76" spans="1:15" ht="15.6" x14ac:dyDescent="0.3">
      <c r="A76" s="2" t="s">
        <v>134</v>
      </c>
      <c r="B76" s="1" t="s">
        <v>145</v>
      </c>
      <c r="C76" s="1">
        <f t="shared" si="4"/>
        <v>-6.543273408034155</v>
      </c>
      <c r="D76" s="14"/>
      <c r="E76" s="1"/>
      <c r="F76" s="14">
        <f>(-6-C76)/3</f>
        <v>0.18109113601138502</v>
      </c>
      <c r="G76" s="49">
        <f>(C76+9)/3</f>
        <v>0.81890886398861495</v>
      </c>
      <c r="H76" s="14"/>
      <c r="I76" s="14"/>
      <c r="J76" s="14"/>
      <c r="K76" s="14"/>
      <c r="L76" s="14"/>
      <c r="M76" s="14"/>
      <c r="N76" s="14"/>
      <c r="O76" s="14" t="s">
        <v>16</v>
      </c>
    </row>
    <row r="77" spans="1:15" ht="15.6" x14ac:dyDescent="0.3">
      <c r="A77" s="13"/>
      <c r="B77" s="1" t="s">
        <v>146</v>
      </c>
      <c r="C77" s="1">
        <f t="shared" si="4"/>
        <v>-6.8268971984614497</v>
      </c>
      <c r="D77" s="14"/>
      <c r="E77" s="14"/>
      <c r="F77" s="14">
        <f>(-6-C77)/3</f>
        <v>0.2756323994871499</v>
      </c>
      <c r="G77" s="49">
        <f>(C77+9)/3</f>
        <v>0.7243676005128501</v>
      </c>
      <c r="H77" s="14"/>
      <c r="I77" s="14"/>
      <c r="J77" s="14"/>
      <c r="K77" s="14"/>
      <c r="L77" s="14"/>
      <c r="M77" s="14"/>
      <c r="N77" s="14"/>
      <c r="O77" s="14" t="s">
        <v>16</v>
      </c>
    </row>
    <row r="78" spans="1:15" ht="15.6" x14ac:dyDescent="0.3">
      <c r="A78" s="13"/>
      <c r="B78" s="1" t="s">
        <v>147</v>
      </c>
      <c r="C78" s="1">
        <f t="shared" si="4"/>
        <v>-4.0278266903423727</v>
      </c>
      <c r="D78" s="14"/>
      <c r="E78" s="49"/>
      <c r="F78" s="14"/>
      <c r="G78" s="14">
        <f>(-3-C78)/3</f>
        <v>0.34260889678079093</v>
      </c>
      <c r="H78" s="37">
        <f>(C78+6)/3</f>
        <v>0.65739110321920913</v>
      </c>
      <c r="I78" s="14"/>
      <c r="J78" s="14"/>
      <c r="K78" s="14"/>
      <c r="L78" s="14"/>
      <c r="M78" s="14"/>
      <c r="N78" s="14"/>
      <c r="O78" s="14" t="s">
        <v>17</v>
      </c>
    </row>
    <row r="79" spans="1:15" ht="15.6" x14ac:dyDescent="0.3">
      <c r="A79" s="2" t="s">
        <v>135</v>
      </c>
      <c r="B79" s="21" t="s">
        <v>148</v>
      </c>
      <c r="C79" s="1">
        <f t="shared" si="4"/>
        <v>13.646952974288325</v>
      </c>
      <c r="D79" s="14"/>
      <c r="E79" s="1"/>
      <c r="F79" s="37"/>
      <c r="G79" s="14"/>
      <c r="H79" s="14"/>
      <c r="I79" s="14"/>
      <c r="J79" s="14"/>
      <c r="K79" s="14"/>
      <c r="L79" s="14"/>
      <c r="M79" s="14">
        <f>(15-C79)/3</f>
        <v>0.45101567523722491</v>
      </c>
      <c r="N79" s="49">
        <f>(C79-12)/3</f>
        <v>0.54898432476277514</v>
      </c>
      <c r="O79" s="14" t="s">
        <v>23</v>
      </c>
    </row>
    <row r="80" spans="1:15" ht="15.6" x14ac:dyDescent="0.3">
      <c r="A80" s="13" t="s">
        <v>136</v>
      </c>
      <c r="B80" s="21" t="s">
        <v>149</v>
      </c>
      <c r="C80" s="1">
        <f t="shared" si="4"/>
        <v>9.5011013245923479</v>
      </c>
      <c r="D80" s="14"/>
      <c r="E80" s="37"/>
      <c r="F80" s="1"/>
      <c r="G80" s="14"/>
      <c r="H80" s="14"/>
      <c r="I80" s="14"/>
      <c r="J80" s="14"/>
      <c r="K80" s="14"/>
      <c r="L80" s="49">
        <f>(12-C80)/3</f>
        <v>0.83296622513588403</v>
      </c>
      <c r="M80" s="14">
        <f>(C80-9)/3</f>
        <v>0.16703377486411597</v>
      </c>
      <c r="N80" s="14"/>
      <c r="O80" s="14" t="s">
        <v>21</v>
      </c>
    </row>
    <row r="81" spans="1:15" ht="15.6" x14ac:dyDescent="0.3">
      <c r="A81" s="13"/>
      <c r="B81" s="22" t="s">
        <v>150</v>
      </c>
      <c r="C81" s="1">
        <f t="shared" si="4"/>
        <v>-6.9784191344615536</v>
      </c>
      <c r="D81" s="14"/>
      <c r="E81" s="14"/>
      <c r="F81" s="14">
        <f>(-6-C81)/3</f>
        <v>0.32613971148718451</v>
      </c>
      <c r="G81" s="49">
        <f>(C81+9)/3</f>
        <v>0.67386028851281543</v>
      </c>
      <c r="H81" s="14"/>
      <c r="I81" s="14"/>
      <c r="J81" s="14"/>
      <c r="K81" s="14"/>
      <c r="L81" s="14"/>
      <c r="M81" s="14"/>
      <c r="N81" s="14"/>
      <c r="O81" s="14" t="s">
        <v>16</v>
      </c>
    </row>
    <row r="82" spans="1:15" ht="15.6" x14ac:dyDescent="0.3">
      <c r="A82" s="7"/>
      <c r="B82" s="1"/>
      <c r="C82" s="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4" spans="1:15" ht="15.6" x14ac:dyDescent="0.3">
      <c r="A84" s="16"/>
    </row>
    <row r="86" spans="1:15" ht="15.6" x14ac:dyDescent="0.3">
      <c r="A86" s="16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6"/>
  <sheetViews>
    <sheetView topLeftCell="A55" zoomScale="80" zoomScaleNormal="80" workbookViewId="0">
      <selection activeCell="C49" sqref="C49"/>
    </sheetView>
  </sheetViews>
  <sheetFormatPr defaultRowHeight="14.4" x14ac:dyDescent="0.3"/>
  <cols>
    <col min="1" max="1" width="24.21875" customWidth="1"/>
    <col min="2" max="2" width="31.109375" customWidth="1"/>
    <col min="3" max="3" width="20.109375" customWidth="1"/>
    <col min="4" max="4" width="10.44140625" customWidth="1"/>
    <col min="5" max="5" width="10.33203125" customWidth="1"/>
    <col min="15" max="15" width="11.109375" customWidth="1"/>
  </cols>
  <sheetData>
    <row r="1" spans="1:10" x14ac:dyDescent="0.3">
      <c r="A1" s="18" t="s">
        <v>229</v>
      </c>
    </row>
    <row r="3" spans="1:10" ht="15.6" x14ac:dyDescent="0.3">
      <c r="A3" s="2" t="s">
        <v>123</v>
      </c>
      <c r="B3" s="2" t="s">
        <v>124</v>
      </c>
      <c r="C3" s="3"/>
      <c r="D3" s="14">
        <v>2022</v>
      </c>
      <c r="E3" s="14">
        <v>2023</v>
      </c>
      <c r="F3" s="170" t="s">
        <v>7</v>
      </c>
      <c r="G3" s="171"/>
      <c r="H3" s="14" t="s">
        <v>0</v>
      </c>
    </row>
    <row r="4" spans="1:10" ht="18" x14ac:dyDescent="0.3">
      <c r="A4" s="7"/>
      <c r="B4" s="7"/>
      <c r="C4" s="8"/>
      <c r="D4" s="14" t="s">
        <v>11</v>
      </c>
      <c r="E4" s="14" t="s">
        <v>11</v>
      </c>
      <c r="F4" s="14" t="s">
        <v>8</v>
      </c>
      <c r="G4" s="14" t="s">
        <v>9</v>
      </c>
      <c r="H4" s="14" t="s">
        <v>10</v>
      </c>
      <c r="J4" s="25"/>
    </row>
    <row r="5" spans="1:10" ht="15.6" x14ac:dyDescent="0.3">
      <c r="A5" s="2" t="s">
        <v>132</v>
      </c>
      <c r="B5" s="1" t="s">
        <v>137</v>
      </c>
      <c r="C5" s="1"/>
      <c r="D5" s="9">
        <f>'2022a'!L5</f>
        <v>-0.48006313905753739</v>
      </c>
      <c r="E5" s="9">
        <f>'2023a'!L6</f>
        <v>-11.285594342161463</v>
      </c>
      <c r="F5" s="9">
        <f t="shared" ref="F5:F18" si="0">D5</f>
        <v>-0.48006313905753739</v>
      </c>
      <c r="G5" s="9">
        <f>E6</f>
        <v>-9.2225478365592721</v>
      </c>
      <c r="H5" s="9">
        <f t="shared" ref="H5:H18" si="1">E5</f>
        <v>-11.285594342161463</v>
      </c>
    </row>
    <row r="6" spans="1:10" ht="15.6" x14ac:dyDescent="0.3">
      <c r="A6" s="7"/>
      <c r="B6" s="1" t="s">
        <v>138</v>
      </c>
      <c r="C6" s="1"/>
      <c r="D6" s="9">
        <f>'2022a'!L6</f>
        <v>-6.0942730339893503</v>
      </c>
      <c r="E6" s="9">
        <f>'2023a'!L7</f>
        <v>-9.2225478365592721</v>
      </c>
      <c r="F6" s="9">
        <f t="shared" si="0"/>
        <v>-6.0942730339893503</v>
      </c>
      <c r="G6" s="9">
        <f>E5</f>
        <v>-11.285594342161463</v>
      </c>
      <c r="H6" s="9">
        <f t="shared" si="1"/>
        <v>-9.2225478365592721</v>
      </c>
    </row>
    <row r="7" spans="1:10" ht="15.6" x14ac:dyDescent="0.3">
      <c r="A7" s="2" t="s">
        <v>133</v>
      </c>
      <c r="B7" s="1" t="s">
        <v>139</v>
      </c>
      <c r="C7" s="1"/>
      <c r="D7" s="9">
        <f>'2022a'!L7</f>
        <v>-9.989336370421352</v>
      </c>
      <c r="E7" s="9">
        <f>'2023a'!L8</f>
        <v>-13.704771216322449</v>
      </c>
      <c r="F7" s="9">
        <f t="shared" si="0"/>
        <v>-9.989336370421352</v>
      </c>
      <c r="G7" s="9">
        <f>E12</f>
        <v>-1.5371636490252283</v>
      </c>
      <c r="H7" s="9">
        <f t="shared" si="1"/>
        <v>-13.704771216322449</v>
      </c>
    </row>
    <row r="8" spans="1:10" ht="15.6" x14ac:dyDescent="0.3">
      <c r="A8" s="13"/>
      <c r="B8" s="1" t="s">
        <v>140</v>
      </c>
      <c r="C8" s="1"/>
      <c r="D8" s="9">
        <f>'2022a'!L8</f>
        <v>-11.538678432734283</v>
      </c>
      <c r="E8" s="9">
        <f>'2023a'!L9</f>
        <v>-10.053035803806043</v>
      </c>
      <c r="F8" s="9">
        <f t="shared" si="0"/>
        <v>-11.538678432734283</v>
      </c>
      <c r="G8" s="9">
        <f>E7</f>
        <v>-13.704771216322449</v>
      </c>
      <c r="H8" s="9">
        <f t="shared" si="1"/>
        <v>-10.053035803806043</v>
      </c>
    </row>
    <row r="9" spans="1:10" ht="15.6" x14ac:dyDescent="0.3">
      <c r="A9" s="13"/>
      <c r="B9" s="1" t="s">
        <v>141</v>
      </c>
      <c r="C9" s="1"/>
      <c r="D9" s="9">
        <f>'2022a'!L9</f>
        <v>-10.18752226587625</v>
      </c>
      <c r="E9" s="9">
        <f>'2023a'!L10</f>
        <v>-11.667396906310753</v>
      </c>
      <c r="F9" s="9">
        <f t="shared" si="0"/>
        <v>-10.18752226587625</v>
      </c>
      <c r="G9" s="9">
        <f>E8</f>
        <v>-10.053035803806043</v>
      </c>
      <c r="H9" s="9">
        <f t="shared" si="1"/>
        <v>-11.667396906310753</v>
      </c>
    </row>
    <row r="10" spans="1:10" ht="15.6" x14ac:dyDescent="0.3">
      <c r="A10" s="13"/>
      <c r="B10" s="1" t="s">
        <v>142</v>
      </c>
      <c r="C10" s="1"/>
      <c r="D10" s="9">
        <f>'2022a'!L10</f>
        <v>-4.6052368239488706</v>
      </c>
      <c r="E10" s="9">
        <f>'2023a'!L11</f>
        <v>-3.7583994625957722</v>
      </c>
      <c r="F10" s="9">
        <f t="shared" si="0"/>
        <v>-4.6052368239488706</v>
      </c>
      <c r="G10" s="9">
        <f>E9</f>
        <v>-11.667396906310753</v>
      </c>
      <c r="H10" s="9">
        <f t="shared" si="1"/>
        <v>-3.7583994625957722</v>
      </c>
    </row>
    <row r="11" spans="1:10" ht="15.6" x14ac:dyDescent="0.3">
      <c r="A11" s="13"/>
      <c r="B11" s="1" t="s">
        <v>143</v>
      </c>
      <c r="C11" s="1"/>
      <c r="D11" s="9">
        <f>'2022a'!L11</f>
        <v>-9.8900317234700346</v>
      </c>
      <c r="E11" s="9">
        <f>'2023a'!L12</f>
        <v>-15.60298592672655</v>
      </c>
      <c r="F11" s="9">
        <f t="shared" si="0"/>
        <v>-9.8900317234700346</v>
      </c>
      <c r="G11" s="9">
        <f>E10</f>
        <v>-3.7583994625957722</v>
      </c>
      <c r="H11" s="9">
        <f t="shared" si="1"/>
        <v>-15.60298592672655</v>
      </c>
    </row>
    <row r="12" spans="1:10" ht="15.6" x14ac:dyDescent="0.3">
      <c r="A12" s="13"/>
      <c r="B12" s="1" t="s">
        <v>144</v>
      </c>
      <c r="C12" s="1"/>
      <c r="D12" s="9">
        <f>'2022a'!L12</f>
        <v>-3.675639418432092</v>
      </c>
      <c r="E12" s="9">
        <f>'2023a'!L13</f>
        <v>-1.5371636490252283</v>
      </c>
      <c r="F12" s="9">
        <f t="shared" si="0"/>
        <v>-3.675639418432092</v>
      </c>
      <c r="G12" s="9">
        <f>E11</f>
        <v>-15.60298592672655</v>
      </c>
      <c r="H12" s="9">
        <f t="shared" si="1"/>
        <v>-1.5371636490252283</v>
      </c>
    </row>
    <row r="13" spans="1:10" ht="15.6" x14ac:dyDescent="0.3">
      <c r="A13" s="2" t="s">
        <v>134</v>
      </c>
      <c r="B13" s="1" t="s">
        <v>145</v>
      </c>
      <c r="C13" s="1"/>
      <c r="D13" s="9">
        <f>'2022a'!L13</f>
        <v>-6.543273408034155</v>
      </c>
      <c r="E13" s="9">
        <f>'2023a'!L14</f>
        <v>-9.4613272688321093</v>
      </c>
      <c r="F13" s="9">
        <f t="shared" si="0"/>
        <v>-6.543273408034155</v>
      </c>
      <c r="G13" s="9">
        <f>E14</f>
        <v>-6.7784571089971246</v>
      </c>
      <c r="H13" s="9">
        <f t="shared" si="1"/>
        <v>-9.4613272688321093</v>
      </c>
    </row>
    <row r="14" spans="1:10" ht="15.6" x14ac:dyDescent="0.3">
      <c r="A14" s="13"/>
      <c r="B14" s="1" t="s">
        <v>146</v>
      </c>
      <c r="C14" s="1"/>
      <c r="D14" s="9">
        <f>'2022a'!L14</f>
        <v>-6.8268971984614497</v>
      </c>
      <c r="E14" s="9">
        <f>'2023a'!L15</f>
        <v>-6.7784571089971246</v>
      </c>
      <c r="F14" s="9">
        <f t="shared" si="0"/>
        <v>-6.8268971984614497</v>
      </c>
      <c r="G14" s="9">
        <f>E13</f>
        <v>-9.4613272688321093</v>
      </c>
      <c r="H14" s="9">
        <f t="shared" si="1"/>
        <v>-6.7784571089971246</v>
      </c>
    </row>
    <row r="15" spans="1:10" ht="15.6" x14ac:dyDescent="0.3">
      <c r="A15" s="13"/>
      <c r="B15" s="1" t="s">
        <v>147</v>
      </c>
      <c r="C15" s="1"/>
      <c r="D15" s="9">
        <f>'2022a'!L15</f>
        <v>-4.0278266903423727</v>
      </c>
      <c r="E15" s="9">
        <f>'2023a'!L16</f>
        <v>-13.272881311933039</v>
      </c>
      <c r="F15" s="9">
        <f t="shared" si="0"/>
        <v>-4.0278266903423727</v>
      </c>
      <c r="G15" s="9">
        <f>E14</f>
        <v>-6.7784571089971246</v>
      </c>
      <c r="H15" s="9">
        <f t="shared" si="1"/>
        <v>-13.272881311933039</v>
      </c>
    </row>
    <row r="16" spans="1:10" ht="15.6" x14ac:dyDescent="0.3">
      <c r="A16" s="2" t="s">
        <v>135</v>
      </c>
      <c r="B16" s="21" t="s">
        <v>148</v>
      </c>
      <c r="C16" s="1"/>
      <c r="D16" s="9">
        <f>'2022a'!L16</f>
        <v>13.646952974288325</v>
      </c>
      <c r="E16" s="9">
        <f>'2023a'!L17</f>
        <v>-9.644728439746526</v>
      </c>
      <c r="F16" s="9">
        <f t="shared" si="0"/>
        <v>13.646952974288325</v>
      </c>
      <c r="G16" s="9">
        <f>E17</f>
        <v>-11.306996025795833</v>
      </c>
      <c r="H16" s="9">
        <f t="shared" si="1"/>
        <v>-9.644728439746526</v>
      </c>
    </row>
    <row r="17" spans="1:15" ht="15.6" x14ac:dyDescent="0.3">
      <c r="A17" s="13" t="s">
        <v>136</v>
      </c>
      <c r="B17" s="21" t="s">
        <v>149</v>
      </c>
      <c r="C17" s="1"/>
      <c r="D17" s="9">
        <f>'2022a'!L17</f>
        <v>9.5011013245923479</v>
      </c>
      <c r="E17" s="9">
        <f>'2023a'!L18</f>
        <v>-11.306996025795833</v>
      </c>
      <c r="F17" s="9">
        <f t="shared" si="0"/>
        <v>9.5011013245923479</v>
      </c>
      <c r="G17" s="9">
        <f>E16</f>
        <v>-9.644728439746526</v>
      </c>
      <c r="H17" s="9">
        <f t="shared" si="1"/>
        <v>-11.306996025795833</v>
      </c>
    </row>
    <row r="18" spans="1:15" ht="15.6" x14ac:dyDescent="0.3">
      <c r="A18" s="13"/>
      <c r="B18" s="22" t="s">
        <v>150</v>
      </c>
      <c r="C18" s="1"/>
      <c r="D18" s="9">
        <f>'2022a'!L18</f>
        <v>-6.9784191344615536</v>
      </c>
      <c r="E18" s="9">
        <f>'2023a'!L19</f>
        <v>-15.889039480123463</v>
      </c>
      <c r="F18" s="9">
        <f t="shared" si="0"/>
        <v>-6.9784191344615536</v>
      </c>
      <c r="G18" s="9">
        <f>E17</f>
        <v>-11.306996025795833</v>
      </c>
      <c r="H18" s="9">
        <f t="shared" si="1"/>
        <v>-15.889039480123463</v>
      </c>
    </row>
    <row r="19" spans="1:15" ht="15.6" x14ac:dyDescent="0.3">
      <c r="A19" s="7"/>
      <c r="B19" s="1"/>
      <c r="C19" s="1"/>
      <c r="D19" s="9"/>
      <c r="E19" s="9"/>
      <c r="F19" s="9"/>
      <c r="G19" s="9"/>
      <c r="H19" s="9"/>
    </row>
    <row r="22" spans="1:15" ht="15.6" x14ac:dyDescent="0.3">
      <c r="A22" s="29" t="s">
        <v>230</v>
      </c>
    </row>
    <row r="24" spans="1:15" ht="15.6" x14ac:dyDescent="0.3">
      <c r="A24" s="2" t="s">
        <v>123</v>
      </c>
      <c r="B24" s="2" t="s">
        <v>124</v>
      </c>
      <c r="C24" s="3" t="s">
        <v>231</v>
      </c>
      <c r="D24" s="111" t="s">
        <v>232</v>
      </c>
      <c r="E24" s="112"/>
      <c r="F24" s="112"/>
      <c r="G24" s="112"/>
      <c r="H24" s="112"/>
      <c r="I24" s="112"/>
      <c r="J24" s="112"/>
      <c r="K24" s="112"/>
      <c r="L24" s="112"/>
      <c r="M24" s="112"/>
      <c r="N24" s="113"/>
      <c r="O24" s="3" t="s">
        <v>234</v>
      </c>
    </row>
    <row r="25" spans="1:15" ht="15.6" x14ac:dyDescent="0.3">
      <c r="A25" s="7"/>
      <c r="B25" s="7"/>
      <c r="C25" s="8" t="s">
        <v>8</v>
      </c>
      <c r="D25" s="9" t="s">
        <v>12</v>
      </c>
      <c r="E25" s="9" t="s">
        <v>13</v>
      </c>
      <c r="F25" s="9" t="s">
        <v>14</v>
      </c>
      <c r="G25" s="9" t="s">
        <v>16</v>
      </c>
      <c r="H25" s="9" t="s">
        <v>17</v>
      </c>
      <c r="I25" s="9" t="s">
        <v>18</v>
      </c>
      <c r="J25" s="9" t="s">
        <v>19</v>
      </c>
      <c r="K25" s="9" t="s">
        <v>20</v>
      </c>
      <c r="L25" s="9" t="s">
        <v>21</v>
      </c>
      <c r="M25" s="9" t="s">
        <v>22</v>
      </c>
      <c r="N25" s="9" t="s">
        <v>23</v>
      </c>
      <c r="O25" s="8" t="s">
        <v>8</v>
      </c>
    </row>
    <row r="26" spans="1:15" ht="15.6" x14ac:dyDescent="0.3">
      <c r="A26" s="2" t="s">
        <v>132</v>
      </c>
      <c r="B26" s="1" t="s">
        <v>137</v>
      </c>
      <c r="C26" s="1">
        <f>F5</f>
        <v>-0.48006313905753739</v>
      </c>
      <c r="D26" s="1"/>
      <c r="E26" s="1"/>
      <c r="F26" s="1"/>
      <c r="G26" s="1"/>
      <c r="H26" s="1">
        <f>-(C26)/3</f>
        <v>0.16002104635251246</v>
      </c>
      <c r="I26" s="37">
        <f>(C26+3)/3</f>
        <v>0.83997895364748754</v>
      </c>
      <c r="J26" s="1"/>
      <c r="K26" s="1"/>
      <c r="L26" s="1"/>
      <c r="M26" s="1"/>
      <c r="N26" s="14"/>
      <c r="O26" s="14" t="s">
        <v>18</v>
      </c>
    </row>
    <row r="27" spans="1:15" ht="15.6" x14ac:dyDescent="0.3">
      <c r="A27" s="7"/>
      <c r="B27" s="1" t="s">
        <v>138</v>
      </c>
      <c r="C27" s="1">
        <f t="shared" ref="C27:C39" si="2">F6</f>
        <v>-6.0942730339893503</v>
      </c>
      <c r="D27" s="1"/>
      <c r="E27" s="1"/>
      <c r="F27" s="1">
        <f>(-6-(C27))/3</f>
        <v>3.1424344663116756E-2</v>
      </c>
      <c r="G27" s="37">
        <f>(C27+9)/3</f>
        <v>0.96857565533688328</v>
      </c>
      <c r="H27" s="1"/>
      <c r="I27" s="1"/>
      <c r="J27" s="1"/>
      <c r="K27" s="1"/>
      <c r="L27" s="1"/>
      <c r="M27" s="1"/>
      <c r="N27" s="1"/>
      <c r="O27" s="14" t="s">
        <v>16</v>
      </c>
    </row>
    <row r="28" spans="1:15" ht="15.6" x14ac:dyDescent="0.3">
      <c r="A28" s="2" t="s">
        <v>133</v>
      </c>
      <c r="B28" s="1" t="s">
        <v>139</v>
      </c>
      <c r="C28" s="1">
        <f t="shared" si="2"/>
        <v>-9.989336370421352</v>
      </c>
      <c r="D28" s="1"/>
      <c r="E28" s="1">
        <f>(-9-C28)/3</f>
        <v>0.32977879014045069</v>
      </c>
      <c r="F28" s="37">
        <f>(C28+12)/3</f>
        <v>0.67022120985954936</v>
      </c>
      <c r="G28" s="1"/>
      <c r="H28" s="1"/>
      <c r="I28" s="1"/>
      <c r="J28" s="1"/>
      <c r="K28" s="1"/>
      <c r="L28" s="1"/>
      <c r="M28" s="1"/>
      <c r="N28" s="14"/>
      <c r="O28" s="14" t="s">
        <v>14</v>
      </c>
    </row>
    <row r="29" spans="1:15" ht="15.6" x14ac:dyDescent="0.3">
      <c r="A29" s="13"/>
      <c r="B29" s="1" t="s">
        <v>140</v>
      </c>
      <c r="C29" s="1">
        <f t="shared" si="2"/>
        <v>-11.538678432734283</v>
      </c>
      <c r="D29" s="1"/>
      <c r="E29" s="37">
        <f>(-9-C29)/3</f>
        <v>0.84622614424476106</v>
      </c>
      <c r="F29" s="1">
        <f>(C29+12)/3</f>
        <v>0.15377385575523897</v>
      </c>
      <c r="G29" s="1"/>
      <c r="H29" s="1"/>
      <c r="I29" s="1"/>
      <c r="J29" s="1"/>
      <c r="K29" s="1"/>
      <c r="L29" s="1"/>
      <c r="M29" s="1"/>
      <c r="N29" s="1"/>
      <c r="O29" s="14" t="s">
        <v>13</v>
      </c>
    </row>
    <row r="30" spans="1:15" ht="15.6" x14ac:dyDescent="0.3">
      <c r="A30" s="13"/>
      <c r="B30" s="1" t="s">
        <v>141</v>
      </c>
      <c r="C30" s="1">
        <f t="shared" si="2"/>
        <v>-10.18752226587625</v>
      </c>
      <c r="D30" s="1"/>
      <c r="E30" s="1">
        <f>(-9-C30)/3</f>
        <v>0.39584075529208346</v>
      </c>
      <c r="F30" s="37">
        <f>(C30+12)/3</f>
        <v>0.6041592447079166</v>
      </c>
      <c r="G30" s="1"/>
      <c r="H30" s="1"/>
      <c r="I30" s="1"/>
      <c r="J30" s="1"/>
      <c r="K30" s="1"/>
      <c r="L30" s="1"/>
      <c r="M30" s="1"/>
      <c r="N30" s="1"/>
      <c r="O30" s="14" t="s">
        <v>14</v>
      </c>
    </row>
    <row r="31" spans="1:15" ht="15.6" x14ac:dyDescent="0.3">
      <c r="A31" s="13"/>
      <c r="B31" s="1" t="s">
        <v>142</v>
      </c>
      <c r="C31" s="1">
        <f t="shared" si="2"/>
        <v>-4.6052368239488706</v>
      </c>
      <c r="D31" s="1"/>
      <c r="E31" s="1"/>
      <c r="F31" s="37">
        <f>(C30+12)/3</f>
        <v>0.6041592447079166</v>
      </c>
      <c r="G31" s="1">
        <f>(-3-C31)/3</f>
        <v>0.53507894131629019</v>
      </c>
      <c r="H31" s="1"/>
      <c r="I31" s="1"/>
      <c r="J31" s="1"/>
      <c r="K31" s="1"/>
      <c r="L31" s="1"/>
      <c r="M31" s="1"/>
      <c r="N31" s="1"/>
      <c r="O31" s="14" t="s">
        <v>14</v>
      </c>
    </row>
    <row r="32" spans="1:15" ht="15.6" x14ac:dyDescent="0.3">
      <c r="A32" s="13"/>
      <c r="B32" s="1" t="s">
        <v>143</v>
      </c>
      <c r="C32" s="1">
        <f t="shared" si="2"/>
        <v>-9.8900317234700346</v>
      </c>
      <c r="D32" s="1"/>
      <c r="E32" s="1">
        <f>(-9-C32)/3</f>
        <v>0.29667724115667821</v>
      </c>
      <c r="F32" s="37">
        <f>(C32+12)/3</f>
        <v>0.70332275884332185</v>
      </c>
      <c r="G32" s="1"/>
      <c r="H32" s="1"/>
      <c r="I32" s="1"/>
      <c r="J32" s="1"/>
      <c r="K32" s="1"/>
      <c r="L32" s="1"/>
      <c r="M32" s="1"/>
      <c r="N32" s="1"/>
      <c r="O32" s="14" t="s">
        <v>14</v>
      </c>
    </row>
    <row r="33" spans="1:15" ht="15.6" x14ac:dyDescent="0.3">
      <c r="A33" s="13"/>
      <c r="B33" s="1" t="s">
        <v>144</v>
      </c>
      <c r="C33" s="1">
        <f t="shared" si="2"/>
        <v>-3.675639418432092</v>
      </c>
      <c r="D33" s="1"/>
      <c r="E33" s="1"/>
      <c r="F33" s="1"/>
      <c r="G33" s="1">
        <f>(-3-C33)/3</f>
        <v>0.22521313947736399</v>
      </c>
      <c r="H33" s="37">
        <f>(C33+6)/3</f>
        <v>0.77478686052263601</v>
      </c>
      <c r="I33" s="1"/>
      <c r="J33" s="1"/>
      <c r="K33" s="1"/>
      <c r="L33" s="1"/>
      <c r="M33" s="1"/>
      <c r="N33" s="1"/>
      <c r="O33" s="14" t="s">
        <v>17</v>
      </c>
    </row>
    <row r="34" spans="1:15" ht="15.6" x14ac:dyDescent="0.3">
      <c r="A34" s="2" t="s">
        <v>134</v>
      </c>
      <c r="B34" s="1" t="s">
        <v>145</v>
      </c>
      <c r="C34" s="1">
        <f t="shared" si="2"/>
        <v>-6.543273408034155</v>
      </c>
      <c r="D34" s="1"/>
      <c r="E34" s="1"/>
      <c r="F34" s="1">
        <f>(-6-C34)/3</f>
        <v>0.18109113601138502</v>
      </c>
      <c r="G34" s="37">
        <f>(C34+9)/3</f>
        <v>0.81890886398861495</v>
      </c>
      <c r="H34" s="1"/>
      <c r="I34" s="1"/>
      <c r="J34" s="1"/>
      <c r="K34" s="1"/>
      <c r="L34" s="1"/>
      <c r="M34" s="1"/>
      <c r="N34" s="1"/>
      <c r="O34" s="14" t="s">
        <v>16</v>
      </c>
    </row>
    <row r="35" spans="1:15" ht="15.6" x14ac:dyDescent="0.3">
      <c r="A35" s="13"/>
      <c r="B35" s="1" t="s">
        <v>146</v>
      </c>
      <c r="C35" s="1">
        <f t="shared" si="2"/>
        <v>-6.8268971984614497</v>
      </c>
      <c r="D35" s="1"/>
      <c r="E35" s="1"/>
      <c r="F35" s="1">
        <f>(-6-C35)/3</f>
        <v>0.2756323994871499</v>
      </c>
      <c r="G35" s="37">
        <f>(C35+9)/3</f>
        <v>0.7243676005128501</v>
      </c>
      <c r="H35" s="1"/>
      <c r="I35" s="1"/>
      <c r="J35" s="1"/>
      <c r="K35" s="1"/>
      <c r="L35" s="1"/>
      <c r="M35" s="1"/>
      <c r="N35" s="1"/>
      <c r="O35" s="14" t="s">
        <v>16</v>
      </c>
    </row>
    <row r="36" spans="1:15" ht="15.6" x14ac:dyDescent="0.3">
      <c r="A36" s="13"/>
      <c r="B36" s="1" t="s">
        <v>147</v>
      </c>
      <c r="C36" s="1">
        <f t="shared" si="2"/>
        <v>-4.0278266903423727</v>
      </c>
      <c r="D36" s="14"/>
      <c r="E36" s="1"/>
      <c r="F36" s="1"/>
      <c r="G36" s="1">
        <f>(-3-C36)/3</f>
        <v>0.34260889678079093</v>
      </c>
      <c r="H36" s="37">
        <f>(C36+6)/3</f>
        <v>0.65739110321920913</v>
      </c>
      <c r="I36" s="1"/>
      <c r="J36" s="1"/>
      <c r="K36" s="1"/>
      <c r="L36" s="1"/>
      <c r="M36" s="1"/>
      <c r="N36" s="1"/>
      <c r="O36" s="14" t="s">
        <v>17</v>
      </c>
    </row>
    <row r="37" spans="1:15" ht="15.6" x14ac:dyDescent="0.3">
      <c r="A37" s="2" t="s">
        <v>135</v>
      </c>
      <c r="B37" s="21" t="s">
        <v>148</v>
      </c>
      <c r="C37" s="1">
        <f t="shared" si="2"/>
        <v>13.646952974288325</v>
      </c>
      <c r="D37" s="1"/>
      <c r="E37" s="1"/>
      <c r="F37" s="1"/>
      <c r="G37" s="1"/>
      <c r="H37" s="1"/>
      <c r="I37" s="1"/>
      <c r="J37" s="1"/>
      <c r="K37" s="1"/>
      <c r="L37" s="1"/>
      <c r="M37" s="1">
        <f>(15-C37)/3</f>
        <v>0.45101567523722491</v>
      </c>
      <c r="N37" s="37">
        <f>(C37-12)/3</f>
        <v>0.54898432476277514</v>
      </c>
      <c r="O37" s="14" t="s">
        <v>23</v>
      </c>
    </row>
    <row r="38" spans="1:15" ht="15.6" x14ac:dyDescent="0.3">
      <c r="A38" s="13" t="s">
        <v>136</v>
      </c>
      <c r="B38" s="21" t="s">
        <v>149</v>
      </c>
      <c r="C38" s="1">
        <f t="shared" si="2"/>
        <v>9.5011013245923479</v>
      </c>
      <c r="D38" s="1"/>
      <c r="E38" s="1"/>
      <c r="F38" s="1"/>
      <c r="G38" s="1"/>
      <c r="H38" s="1"/>
      <c r="I38" s="1"/>
      <c r="J38" s="1"/>
      <c r="K38" s="1"/>
      <c r="L38" s="37">
        <f>(12-C38)/3</f>
        <v>0.83296622513588403</v>
      </c>
      <c r="M38" s="1">
        <f>(C38-9)/3</f>
        <v>0.16703377486411597</v>
      </c>
      <c r="N38" s="9"/>
      <c r="O38" s="14" t="s">
        <v>21</v>
      </c>
    </row>
    <row r="39" spans="1:15" ht="15.6" x14ac:dyDescent="0.3">
      <c r="A39" s="13"/>
      <c r="B39" s="22" t="s">
        <v>150</v>
      </c>
      <c r="C39" s="1">
        <f t="shared" si="2"/>
        <v>-6.9784191344615536</v>
      </c>
      <c r="D39" s="1"/>
      <c r="E39" s="1"/>
      <c r="F39" s="1">
        <f>(-6-C39)/3</f>
        <v>0.32613971148718451</v>
      </c>
      <c r="G39" s="37">
        <f>(C39+9)/3</f>
        <v>0.67386028851281543</v>
      </c>
      <c r="H39" s="1"/>
      <c r="I39" s="1"/>
      <c r="J39" s="1"/>
      <c r="K39" s="1"/>
      <c r="L39" s="1"/>
      <c r="M39" s="1"/>
      <c r="N39" s="1"/>
      <c r="O39" s="14" t="s">
        <v>16</v>
      </c>
    </row>
    <row r="40" spans="1:15" ht="15.6" x14ac:dyDescent="0.3">
      <c r="A40" s="7"/>
      <c r="B40" s="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</row>
    <row r="41" spans="1:15" ht="15.6" x14ac:dyDescent="0.3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ht="15.6" x14ac:dyDescent="0.3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ht="15.6" x14ac:dyDescent="0.3">
      <c r="A43" s="29" t="s">
        <v>233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15.6" x14ac:dyDescent="0.3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ht="15.6" x14ac:dyDescent="0.3">
      <c r="A45" s="2" t="s">
        <v>123</v>
      </c>
      <c r="B45" s="2" t="s">
        <v>124</v>
      </c>
      <c r="C45" s="3" t="s">
        <v>231</v>
      </c>
      <c r="D45" s="111" t="s">
        <v>232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3"/>
      <c r="O45" s="3" t="s">
        <v>234</v>
      </c>
    </row>
    <row r="46" spans="1:15" ht="15.6" x14ac:dyDescent="0.3">
      <c r="A46" s="7"/>
      <c r="B46" s="7"/>
      <c r="C46" s="8" t="s">
        <v>9</v>
      </c>
      <c r="D46" s="9" t="s">
        <v>12</v>
      </c>
      <c r="E46" s="9" t="s">
        <v>13</v>
      </c>
      <c r="F46" s="9" t="s">
        <v>14</v>
      </c>
      <c r="G46" s="9" t="s">
        <v>16</v>
      </c>
      <c r="H46" s="9" t="s">
        <v>17</v>
      </c>
      <c r="I46" s="9" t="s">
        <v>18</v>
      </c>
      <c r="J46" s="9" t="s">
        <v>19</v>
      </c>
      <c r="K46" s="9" t="s">
        <v>20</v>
      </c>
      <c r="L46" s="9" t="s">
        <v>21</v>
      </c>
      <c r="M46" s="9" t="s">
        <v>22</v>
      </c>
      <c r="N46" s="9" t="s">
        <v>23</v>
      </c>
      <c r="O46" s="8" t="s">
        <v>9</v>
      </c>
    </row>
    <row r="47" spans="1:15" ht="15.6" x14ac:dyDescent="0.3">
      <c r="A47" s="2" t="s">
        <v>132</v>
      </c>
      <c r="B47" s="1" t="s">
        <v>137</v>
      </c>
      <c r="C47" s="1">
        <v>-9.2225478365592721</v>
      </c>
      <c r="D47" s="14"/>
      <c r="E47" s="1">
        <f>(-9-C47)/3</f>
        <v>7.4182612186424038E-2</v>
      </c>
      <c r="F47" s="37">
        <f>(C47+12)/3</f>
        <v>0.92581738781357592</v>
      </c>
      <c r="G47" s="14"/>
      <c r="H47" s="14"/>
      <c r="I47" s="14"/>
      <c r="J47" s="14"/>
      <c r="K47" s="14"/>
      <c r="L47" s="14"/>
      <c r="M47" s="14"/>
      <c r="N47" s="14"/>
      <c r="O47" s="14" t="s">
        <v>14</v>
      </c>
    </row>
    <row r="48" spans="1:15" ht="15.6" x14ac:dyDescent="0.3">
      <c r="A48" s="7"/>
      <c r="B48" s="1" t="s">
        <v>138</v>
      </c>
      <c r="C48" s="1">
        <v>-11.285594342161463</v>
      </c>
      <c r="D48" s="14"/>
      <c r="E48" s="37">
        <f>(-9-C48)/3</f>
        <v>0.7618647807204878</v>
      </c>
      <c r="F48" s="1">
        <f>(C48+12)/3</f>
        <v>0.23813521927951223</v>
      </c>
      <c r="G48" s="14"/>
      <c r="H48" s="14"/>
      <c r="I48" s="14"/>
      <c r="J48" s="14"/>
      <c r="K48" s="14"/>
      <c r="L48" s="14"/>
      <c r="M48" s="14"/>
      <c r="N48" s="14"/>
      <c r="O48" s="14" t="s">
        <v>13</v>
      </c>
    </row>
    <row r="49" spans="1:15" ht="15.6" x14ac:dyDescent="0.3">
      <c r="A49" s="2" t="s">
        <v>133</v>
      </c>
      <c r="B49" s="1" t="s">
        <v>139</v>
      </c>
      <c r="C49" s="1">
        <v>-1.5371636490252283</v>
      </c>
      <c r="D49" s="14"/>
      <c r="E49" s="14"/>
      <c r="F49" s="14"/>
      <c r="G49" s="14"/>
      <c r="H49" s="37">
        <f>(-(C49))/3</f>
        <v>0.51238788300840943</v>
      </c>
      <c r="I49" s="1">
        <f>(C49+3)/3</f>
        <v>0.48761211699159057</v>
      </c>
      <c r="J49" s="14"/>
      <c r="K49" s="14"/>
      <c r="L49" s="14"/>
      <c r="M49" s="14"/>
      <c r="N49" s="14"/>
      <c r="O49" s="14" t="s">
        <v>17</v>
      </c>
    </row>
    <row r="50" spans="1:15" ht="15.6" x14ac:dyDescent="0.3">
      <c r="A50" s="13"/>
      <c r="B50" s="1" t="s">
        <v>140</v>
      </c>
      <c r="C50" s="1">
        <v>-13.704771216322449</v>
      </c>
      <c r="D50" s="14">
        <f>(-12-C50)/3</f>
        <v>0.568257072107483</v>
      </c>
      <c r="E50" s="14">
        <f>(C50+15)/3</f>
        <v>0.43174292789251706</v>
      </c>
      <c r="F50" s="14"/>
      <c r="G50" s="14"/>
      <c r="H50" s="14"/>
      <c r="I50" s="14"/>
      <c r="J50" s="14"/>
      <c r="K50" s="14"/>
      <c r="L50" s="14"/>
      <c r="M50" s="14"/>
      <c r="N50" s="14"/>
      <c r="O50" s="14" t="s">
        <v>12</v>
      </c>
    </row>
    <row r="51" spans="1:15" ht="15.6" x14ac:dyDescent="0.3">
      <c r="A51" s="13"/>
      <c r="B51" s="1" t="s">
        <v>141</v>
      </c>
      <c r="C51" s="1">
        <v>-10.053035803806043</v>
      </c>
      <c r="D51" s="14"/>
      <c r="E51" s="1">
        <f>(-9-C51)/3</f>
        <v>0.35101193460201446</v>
      </c>
      <c r="F51" s="37">
        <f>(C51+12)/3</f>
        <v>0.64898806539798548</v>
      </c>
      <c r="G51" s="14"/>
      <c r="H51" s="14"/>
      <c r="I51" s="14"/>
      <c r="J51" s="14"/>
      <c r="K51" s="14"/>
      <c r="L51" s="14"/>
      <c r="M51" s="14"/>
      <c r="N51" s="14"/>
      <c r="O51" s="14" t="s">
        <v>14</v>
      </c>
    </row>
    <row r="52" spans="1:15" ht="15.6" x14ac:dyDescent="0.3">
      <c r="A52" s="13"/>
      <c r="B52" s="1" t="s">
        <v>142</v>
      </c>
      <c r="C52" s="1">
        <v>-11.667396906310753</v>
      </c>
      <c r="D52" s="14"/>
      <c r="E52" s="37">
        <f>(-9-C52)/3</f>
        <v>0.88913230210358429</v>
      </c>
      <c r="F52" s="1">
        <f>(C52+12)/3</f>
        <v>0.11086769789641575</v>
      </c>
      <c r="G52" s="14"/>
      <c r="H52" s="14"/>
      <c r="I52" s="14"/>
      <c r="J52" s="14"/>
      <c r="K52" s="14"/>
      <c r="L52" s="14"/>
      <c r="M52" s="14"/>
      <c r="N52" s="14"/>
      <c r="O52" s="14" t="s">
        <v>13</v>
      </c>
    </row>
    <row r="53" spans="1:15" ht="15.6" x14ac:dyDescent="0.3">
      <c r="A53" s="13"/>
      <c r="B53" s="1" t="s">
        <v>143</v>
      </c>
      <c r="C53" s="1">
        <v>-3.7583994625957722</v>
      </c>
      <c r="D53" s="14"/>
      <c r="E53" s="14"/>
      <c r="F53" s="14"/>
      <c r="G53" s="14">
        <f>(-3-C53)/3</f>
        <v>0.25279982086525737</v>
      </c>
      <c r="H53" s="37">
        <f>(C53+6)/3</f>
        <v>0.74720017913474257</v>
      </c>
      <c r="I53" s="1"/>
      <c r="J53" s="14"/>
      <c r="K53" s="14"/>
      <c r="L53" s="14"/>
      <c r="M53" s="14"/>
      <c r="N53" s="14"/>
      <c r="O53" s="14" t="s">
        <v>17</v>
      </c>
    </row>
    <row r="54" spans="1:15" ht="15.6" x14ac:dyDescent="0.3">
      <c r="A54" s="13"/>
      <c r="B54" s="1" t="s">
        <v>144</v>
      </c>
      <c r="C54" s="1">
        <v>-15.60298592672655</v>
      </c>
      <c r="D54" s="14">
        <v>1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 t="s">
        <v>12</v>
      </c>
    </row>
    <row r="55" spans="1:15" ht="15.6" x14ac:dyDescent="0.3">
      <c r="A55" s="2" t="s">
        <v>134</v>
      </c>
      <c r="B55" s="1" t="s">
        <v>145</v>
      </c>
      <c r="C55" s="1">
        <v>-6.7784571089971246</v>
      </c>
      <c r="D55" s="14"/>
      <c r="E55" s="14"/>
      <c r="F55" s="14">
        <f>(-6-C55)/3</f>
        <v>0.25948570299904156</v>
      </c>
      <c r="G55" s="49">
        <f>(C55+9)/3</f>
        <v>0.7405142970009585</v>
      </c>
      <c r="H55" s="1"/>
      <c r="I55" s="14"/>
      <c r="J55" s="14"/>
      <c r="K55" s="14"/>
      <c r="L55" s="14"/>
      <c r="M55" s="14"/>
      <c r="N55" s="14"/>
      <c r="O55" s="14" t="s">
        <v>16</v>
      </c>
    </row>
    <row r="56" spans="1:15" ht="15.6" x14ac:dyDescent="0.3">
      <c r="A56" s="13"/>
      <c r="B56" s="1" t="s">
        <v>146</v>
      </c>
      <c r="C56" s="1">
        <v>-9.4613272688321093</v>
      </c>
      <c r="D56" s="14"/>
      <c r="E56" s="1">
        <f>(-9-C56)/3</f>
        <v>0.15377575627736975</v>
      </c>
      <c r="F56" s="37">
        <f>(C56+12)/3</f>
        <v>0.84622424372263028</v>
      </c>
      <c r="G56" s="14"/>
      <c r="H56" s="14"/>
      <c r="I56" s="14"/>
      <c r="J56" s="14"/>
      <c r="K56" s="14"/>
      <c r="L56" s="14"/>
      <c r="M56" s="14"/>
      <c r="N56" s="14"/>
      <c r="O56" s="14" t="s">
        <v>14</v>
      </c>
    </row>
    <row r="57" spans="1:15" ht="15.6" x14ac:dyDescent="0.3">
      <c r="A57" s="13"/>
      <c r="B57" s="1" t="s">
        <v>147</v>
      </c>
      <c r="C57" s="1">
        <v>-6.7784571089971246</v>
      </c>
      <c r="D57" s="14"/>
      <c r="E57" s="14"/>
      <c r="F57" s="14">
        <f>(-6-C57)/3</f>
        <v>0.25948570299904156</v>
      </c>
      <c r="G57" s="49">
        <f>(C57+9)/3</f>
        <v>0.7405142970009585</v>
      </c>
      <c r="H57" s="14"/>
      <c r="I57" s="14"/>
      <c r="J57" s="14"/>
      <c r="K57" s="14"/>
      <c r="L57" s="14"/>
      <c r="M57" s="14"/>
      <c r="N57" s="14"/>
      <c r="O57" s="14" t="s">
        <v>16</v>
      </c>
    </row>
    <row r="58" spans="1:15" ht="15.6" x14ac:dyDescent="0.3">
      <c r="A58" s="2" t="s">
        <v>135</v>
      </c>
      <c r="B58" s="21" t="s">
        <v>148</v>
      </c>
      <c r="C58" s="1">
        <v>-11.306996025795833</v>
      </c>
      <c r="D58" s="14"/>
      <c r="E58" s="37">
        <f>(-9-C58)/3</f>
        <v>0.76899867526527765</v>
      </c>
      <c r="F58" s="1">
        <f>(C58+12)/3</f>
        <v>0.23100132473472237</v>
      </c>
      <c r="G58" s="14"/>
      <c r="H58" s="14"/>
      <c r="I58" s="14"/>
      <c r="J58" s="14"/>
      <c r="K58" s="14"/>
      <c r="L58" s="14"/>
      <c r="M58" s="14"/>
      <c r="N58" s="14"/>
      <c r="O58" s="14" t="s">
        <v>13</v>
      </c>
    </row>
    <row r="59" spans="1:15" ht="15.6" x14ac:dyDescent="0.3">
      <c r="A59" s="13" t="s">
        <v>136</v>
      </c>
      <c r="B59" s="21" t="s">
        <v>149</v>
      </c>
      <c r="C59" s="1">
        <v>-9.644728439746526</v>
      </c>
      <c r="D59" s="14"/>
      <c r="E59" s="1">
        <f>(-9-C59)/3</f>
        <v>0.21490947991550868</v>
      </c>
      <c r="F59" s="37">
        <f>(C59+12)/3</f>
        <v>0.78509052008449132</v>
      </c>
      <c r="G59" s="14"/>
      <c r="H59" s="14"/>
      <c r="I59" s="14"/>
      <c r="J59" s="14"/>
      <c r="K59" s="14"/>
      <c r="L59" s="14"/>
      <c r="M59" s="14"/>
      <c r="N59" s="14"/>
      <c r="O59" s="14" t="s">
        <v>14</v>
      </c>
    </row>
    <row r="60" spans="1:15" ht="15.6" x14ac:dyDescent="0.3">
      <c r="A60" s="13"/>
      <c r="B60" s="22" t="s">
        <v>150</v>
      </c>
      <c r="C60" s="1">
        <v>-11.306996025795833</v>
      </c>
      <c r="D60" s="14"/>
      <c r="E60" s="37">
        <f>(-9-C60)/3</f>
        <v>0.76899867526527765</v>
      </c>
      <c r="F60" s="1">
        <f>(C60+12)/3</f>
        <v>0.23100132473472237</v>
      </c>
      <c r="G60" s="14"/>
      <c r="H60" s="14"/>
      <c r="I60" s="14"/>
      <c r="J60" s="14"/>
      <c r="K60" s="14"/>
      <c r="L60" s="14"/>
      <c r="M60" s="14"/>
      <c r="N60" s="14"/>
      <c r="O60" s="14" t="s">
        <v>13</v>
      </c>
    </row>
    <row r="61" spans="1:15" ht="15.6" x14ac:dyDescent="0.3">
      <c r="A61" s="7"/>
      <c r="B61" s="21"/>
      <c r="C61" s="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6" x14ac:dyDescent="0.3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5.6" x14ac:dyDescent="0.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5.6" x14ac:dyDescent="0.3">
      <c r="A64" s="29" t="s">
        <v>235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5.6" x14ac:dyDescent="0.3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5.6" x14ac:dyDescent="0.3">
      <c r="A66" s="2" t="s">
        <v>123</v>
      </c>
      <c r="B66" s="2" t="s">
        <v>124</v>
      </c>
      <c r="C66" s="3" t="s">
        <v>231</v>
      </c>
      <c r="D66" s="111" t="s">
        <v>232</v>
      </c>
      <c r="E66" s="112"/>
      <c r="F66" s="112"/>
      <c r="G66" s="112"/>
      <c r="H66" s="112"/>
      <c r="I66" s="112"/>
      <c r="J66" s="112"/>
      <c r="K66" s="112"/>
      <c r="L66" s="112"/>
      <c r="M66" s="112"/>
      <c r="N66" s="113"/>
      <c r="O66" s="3" t="s">
        <v>234</v>
      </c>
    </row>
    <row r="67" spans="1:15" ht="15.6" x14ac:dyDescent="0.3">
      <c r="A67" s="7"/>
      <c r="B67" s="7"/>
      <c r="C67" s="8" t="s">
        <v>10</v>
      </c>
      <c r="D67" s="9" t="s">
        <v>12</v>
      </c>
      <c r="E67" s="9" t="s">
        <v>13</v>
      </c>
      <c r="F67" s="9" t="s">
        <v>14</v>
      </c>
      <c r="G67" s="9" t="s">
        <v>16</v>
      </c>
      <c r="H67" s="9" t="s">
        <v>17</v>
      </c>
      <c r="I67" s="9" t="s">
        <v>18</v>
      </c>
      <c r="J67" s="9" t="s">
        <v>19</v>
      </c>
      <c r="K67" s="9" t="s">
        <v>20</v>
      </c>
      <c r="L67" s="9" t="s">
        <v>21</v>
      </c>
      <c r="M67" s="9" t="s">
        <v>22</v>
      </c>
      <c r="N67" s="9" t="s">
        <v>23</v>
      </c>
      <c r="O67" s="8" t="s">
        <v>10</v>
      </c>
    </row>
    <row r="68" spans="1:15" ht="15.6" x14ac:dyDescent="0.3">
      <c r="A68" s="2" t="s">
        <v>132</v>
      </c>
      <c r="B68" s="1" t="s">
        <v>137</v>
      </c>
      <c r="C68" s="1">
        <f>H5</f>
        <v>-11.285594342161463</v>
      </c>
      <c r="D68" s="14"/>
      <c r="E68" s="37">
        <f>(-9-C68)/3</f>
        <v>0.7618647807204878</v>
      </c>
      <c r="F68" s="1">
        <f>(C68+12)/3</f>
        <v>0.23813521927951223</v>
      </c>
      <c r="G68" s="14"/>
      <c r="H68" s="14"/>
      <c r="I68" s="14"/>
      <c r="J68" s="14"/>
      <c r="K68" s="14"/>
      <c r="L68" s="14"/>
      <c r="M68" s="14"/>
      <c r="N68" s="14"/>
      <c r="O68" s="14" t="s">
        <v>13</v>
      </c>
    </row>
    <row r="69" spans="1:15" ht="15.6" x14ac:dyDescent="0.3">
      <c r="A69" s="7"/>
      <c r="B69" s="1" t="s">
        <v>138</v>
      </c>
      <c r="C69" s="1">
        <f t="shared" ref="C69:C81" si="3">H6</f>
        <v>-9.2225478365592721</v>
      </c>
      <c r="D69" s="14"/>
      <c r="E69" s="1">
        <f>(-9-C69)/3</f>
        <v>7.4182612186424038E-2</v>
      </c>
      <c r="F69" s="37">
        <f>(C69+12)/3</f>
        <v>0.92581738781357592</v>
      </c>
      <c r="G69" s="14"/>
      <c r="H69" s="14"/>
      <c r="I69" s="14"/>
      <c r="J69" s="14"/>
      <c r="K69" s="14"/>
      <c r="L69" s="14"/>
      <c r="M69" s="14"/>
      <c r="N69" s="14"/>
      <c r="O69" s="14" t="s">
        <v>14</v>
      </c>
    </row>
    <row r="70" spans="1:15" ht="15.6" x14ac:dyDescent="0.3">
      <c r="A70" s="2" t="s">
        <v>133</v>
      </c>
      <c r="B70" s="1" t="s">
        <v>139</v>
      </c>
      <c r="C70" s="1">
        <f t="shared" si="3"/>
        <v>-13.704771216322449</v>
      </c>
      <c r="D70" s="49">
        <f>(-12-C70)/3</f>
        <v>0.568257072107483</v>
      </c>
      <c r="E70" s="14">
        <f>(C70+15)/3</f>
        <v>0.43174292789251706</v>
      </c>
      <c r="F70" s="14"/>
      <c r="G70" s="14"/>
      <c r="H70" s="14"/>
      <c r="I70" s="14"/>
      <c r="J70" s="14"/>
      <c r="K70" s="14"/>
      <c r="L70" s="14"/>
      <c r="M70" s="14"/>
      <c r="N70" s="14"/>
      <c r="O70" s="14" t="s">
        <v>12</v>
      </c>
    </row>
    <row r="71" spans="1:15" ht="15.6" x14ac:dyDescent="0.3">
      <c r="A71" s="13"/>
      <c r="B71" s="1" t="s">
        <v>140</v>
      </c>
      <c r="C71" s="1">
        <f t="shared" si="3"/>
        <v>-10.053035803806043</v>
      </c>
      <c r="D71" s="14"/>
      <c r="E71" s="1">
        <f>(-9-C71)/3</f>
        <v>0.35101193460201446</v>
      </c>
      <c r="F71" s="37">
        <f>(C71+12)/3</f>
        <v>0.64898806539798548</v>
      </c>
      <c r="G71" s="14"/>
      <c r="H71" s="14"/>
      <c r="I71" s="14"/>
      <c r="J71" s="14"/>
      <c r="K71" s="14"/>
      <c r="L71" s="14"/>
      <c r="M71" s="14"/>
      <c r="N71" s="14"/>
      <c r="O71" s="14" t="s">
        <v>14</v>
      </c>
    </row>
    <row r="72" spans="1:15" ht="15.6" x14ac:dyDescent="0.3">
      <c r="A72" s="13"/>
      <c r="B72" s="1" t="s">
        <v>141</v>
      </c>
      <c r="C72" s="1">
        <f t="shared" si="3"/>
        <v>-11.667396906310753</v>
      </c>
      <c r="D72" s="14"/>
      <c r="E72" s="37">
        <f>(-9-C72)/3</f>
        <v>0.88913230210358429</v>
      </c>
      <c r="F72" s="1">
        <f>(C72+12)/3</f>
        <v>0.11086769789641575</v>
      </c>
      <c r="G72" s="14"/>
      <c r="H72" s="14"/>
      <c r="I72" s="14"/>
      <c r="J72" s="14"/>
      <c r="K72" s="14"/>
      <c r="L72" s="14"/>
      <c r="M72" s="14"/>
      <c r="N72" s="14"/>
      <c r="O72" s="14" t="s">
        <v>13</v>
      </c>
    </row>
    <row r="73" spans="1:15" ht="15.6" x14ac:dyDescent="0.3">
      <c r="A73" s="13"/>
      <c r="B73" s="1" t="s">
        <v>142</v>
      </c>
      <c r="C73" s="1">
        <f t="shared" si="3"/>
        <v>-3.7583994625957722</v>
      </c>
      <c r="D73" s="14"/>
      <c r="E73" s="14"/>
      <c r="F73" s="14"/>
      <c r="G73" s="14">
        <f>(-3-C73)/3</f>
        <v>0.25279982086525737</v>
      </c>
      <c r="H73" s="37">
        <f>(C73+6)/3</f>
        <v>0.74720017913474257</v>
      </c>
      <c r="I73" s="14"/>
      <c r="J73" s="14"/>
      <c r="K73" s="14"/>
      <c r="L73" s="14"/>
      <c r="M73" s="14"/>
      <c r="N73" s="14"/>
      <c r="O73" s="14" t="s">
        <v>17</v>
      </c>
    </row>
    <row r="74" spans="1:15" ht="15.6" x14ac:dyDescent="0.3">
      <c r="A74" s="13"/>
      <c r="B74" s="1" t="s">
        <v>143</v>
      </c>
      <c r="C74" s="1">
        <f t="shared" si="3"/>
        <v>-15.60298592672655</v>
      </c>
      <c r="D74" s="14">
        <v>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 t="s">
        <v>12</v>
      </c>
    </row>
    <row r="75" spans="1:15" ht="15.6" x14ac:dyDescent="0.3">
      <c r="A75" s="13"/>
      <c r="B75" s="1" t="s">
        <v>144</v>
      </c>
      <c r="C75" s="1">
        <f t="shared" si="3"/>
        <v>-1.5371636490252283</v>
      </c>
      <c r="D75" s="14"/>
      <c r="E75" s="14"/>
      <c r="F75" s="14"/>
      <c r="G75" s="14"/>
      <c r="H75" s="37">
        <f>(-(C75))/3</f>
        <v>0.51238788300840943</v>
      </c>
      <c r="I75" s="1">
        <f>(C75+3)/3</f>
        <v>0.48761211699159057</v>
      </c>
      <c r="J75" s="14"/>
      <c r="K75" s="14"/>
      <c r="L75" s="14"/>
      <c r="M75" s="14"/>
      <c r="N75" s="14"/>
      <c r="O75" s="14" t="s">
        <v>17</v>
      </c>
    </row>
    <row r="76" spans="1:15" ht="15.6" x14ac:dyDescent="0.3">
      <c r="A76" s="2" t="s">
        <v>134</v>
      </c>
      <c r="B76" s="1" t="s">
        <v>145</v>
      </c>
      <c r="C76" s="1">
        <f t="shared" si="3"/>
        <v>-9.4613272688321093</v>
      </c>
      <c r="D76" s="14"/>
      <c r="E76" s="1">
        <f>(-9-C76)/3</f>
        <v>0.15377575627736975</v>
      </c>
      <c r="F76" s="37">
        <f>(C76+12)/3</f>
        <v>0.84622424372263028</v>
      </c>
      <c r="G76" s="14"/>
      <c r="H76" s="14"/>
      <c r="I76" s="14"/>
      <c r="J76" s="14"/>
      <c r="K76" s="14"/>
      <c r="L76" s="14"/>
      <c r="M76" s="14"/>
      <c r="N76" s="14"/>
      <c r="O76" s="14" t="s">
        <v>14</v>
      </c>
    </row>
    <row r="77" spans="1:15" ht="15.6" x14ac:dyDescent="0.3">
      <c r="A77" s="13"/>
      <c r="B77" s="1" t="s">
        <v>146</v>
      </c>
      <c r="C77" s="1">
        <f t="shared" si="3"/>
        <v>-6.7784571089971246</v>
      </c>
      <c r="D77" s="14"/>
      <c r="E77" s="14"/>
      <c r="F77" s="14">
        <f>(-6-C77)/3</f>
        <v>0.25948570299904156</v>
      </c>
      <c r="G77" s="49">
        <f>(C77+9)/3</f>
        <v>0.7405142970009585</v>
      </c>
      <c r="H77" s="14"/>
      <c r="I77" s="14"/>
      <c r="J77" s="14"/>
      <c r="K77" s="14"/>
      <c r="L77" s="14"/>
      <c r="M77" s="14"/>
      <c r="N77" s="14"/>
      <c r="O77" s="14" t="s">
        <v>16</v>
      </c>
    </row>
    <row r="78" spans="1:15" ht="15.6" x14ac:dyDescent="0.3">
      <c r="A78" s="13"/>
      <c r="B78" s="1" t="s">
        <v>147</v>
      </c>
      <c r="C78" s="1">
        <f t="shared" si="3"/>
        <v>-13.272881311933039</v>
      </c>
      <c r="D78" s="14">
        <f>(-12-C78)/3</f>
        <v>0.42429377064434642</v>
      </c>
      <c r="E78" s="49">
        <f>(C78+15)/3</f>
        <v>0.57570622935565352</v>
      </c>
      <c r="F78" s="14"/>
      <c r="G78" s="14"/>
      <c r="H78" s="14"/>
      <c r="I78" s="14"/>
      <c r="J78" s="14"/>
      <c r="K78" s="14"/>
      <c r="L78" s="14"/>
      <c r="M78" s="14"/>
      <c r="N78" s="14"/>
      <c r="O78" s="14" t="s">
        <v>13</v>
      </c>
    </row>
    <row r="79" spans="1:15" ht="15.6" x14ac:dyDescent="0.3">
      <c r="A79" s="2" t="s">
        <v>135</v>
      </c>
      <c r="B79" s="21" t="s">
        <v>148</v>
      </c>
      <c r="C79" s="1">
        <f t="shared" si="3"/>
        <v>-9.644728439746526</v>
      </c>
      <c r="D79" s="14"/>
      <c r="E79" s="1">
        <f>(-9-C79)/3</f>
        <v>0.21490947991550868</v>
      </c>
      <c r="F79" s="37">
        <f>(C79+12)/3</f>
        <v>0.78509052008449132</v>
      </c>
      <c r="G79" s="14"/>
      <c r="H79" s="14"/>
      <c r="I79" s="14"/>
      <c r="J79" s="14"/>
      <c r="K79" s="14"/>
      <c r="L79" s="14"/>
      <c r="M79" s="14"/>
      <c r="N79" s="14"/>
      <c r="O79" s="14" t="s">
        <v>14</v>
      </c>
    </row>
    <row r="80" spans="1:15" ht="15.6" x14ac:dyDescent="0.3">
      <c r="A80" s="13" t="s">
        <v>136</v>
      </c>
      <c r="B80" s="21" t="s">
        <v>149</v>
      </c>
      <c r="C80" s="1">
        <f t="shared" si="3"/>
        <v>-11.306996025795833</v>
      </c>
      <c r="D80" s="14"/>
      <c r="E80" s="37">
        <f>(-9-C80)/3</f>
        <v>0.76899867526527765</v>
      </c>
      <c r="F80" s="1">
        <f>(C80+12)/3</f>
        <v>0.23100132473472237</v>
      </c>
      <c r="G80" s="14"/>
      <c r="H80" s="14"/>
      <c r="I80" s="14"/>
      <c r="J80" s="14"/>
      <c r="K80" s="14"/>
      <c r="L80" s="14"/>
      <c r="M80" s="14"/>
      <c r="N80" s="14"/>
      <c r="O80" s="14" t="s">
        <v>13</v>
      </c>
    </row>
    <row r="81" spans="1:15" ht="15.6" x14ac:dyDescent="0.3">
      <c r="A81" s="13"/>
      <c r="B81" s="22" t="s">
        <v>150</v>
      </c>
      <c r="C81" s="1">
        <f t="shared" si="3"/>
        <v>-15.889039480123463</v>
      </c>
      <c r="D81" s="14">
        <v>1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 t="s">
        <v>12</v>
      </c>
    </row>
    <row r="82" spans="1:15" ht="15.6" x14ac:dyDescent="0.3">
      <c r="A82" s="7"/>
      <c r="B82" s="1"/>
      <c r="C82" s="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4" spans="1:15" ht="15.6" x14ac:dyDescent="0.3">
      <c r="A84" s="16"/>
    </row>
    <row r="86" spans="1:15" ht="15.6" x14ac:dyDescent="0.3">
      <c r="A86" s="16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6"/>
  <sheetViews>
    <sheetView topLeftCell="A63" workbookViewId="0">
      <selection activeCell="D67" sqref="D67"/>
    </sheetView>
  </sheetViews>
  <sheetFormatPr defaultRowHeight="14.4" x14ac:dyDescent="0.3"/>
  <cols>
    <col min="1" max="1" width="21.109375" customWidth="1"/>
    <col min="2" max="2" width="31.109375" customWidth="1"/>
    <col min="3" max="3" width="20.109375" customWidth="1"/>
    <col min="4" max="4" width="10.44140625" customWidth="1"/>
    <col min="5" max="5" width="10.33203125" customWidth="1"/>
    <col min="15" max="15" width="11.109375" customWidth="1"/>
  </cols>
  <sheetData>
    <row r="1" spans="1:10" x14ac:dyDescent="0.3">
      <c r="A1" s="18" t="s">
        <v>236</v>
      </c>
    </row>
    <row r="3" spans="1:10" ht="15.6" x14ac:dyDescent="0.3">
      <c r="A3" s="2" t="s">
        <v>123</v>
      </c>
      <c r="B3" s="2" t="s">
        <v>124</v>
      </c>
      <c r="C3" s="3"/>
      <c r="D3" s="14">
        <v>2023</v>
      </c>
      <c r="E3" s="14">
        <v>2024</v>
      </c>
      <c r="F3" s="170" t="s">
        <v>7</v>
      </c>
      <c r="G3" s="171"/>
      <c r="H3" s="15" t="s">
        <v>0</v>
      </c>
    </row>
    <row r="4" spans="1:10" ht="18" x14ac:dyDescent="0.3">
      <c r="A4" s="7"/>
      <c r="B4" s="7"/>
      <c r="C4" s="8"/>
      <c r="D4" s="14" t="s">
        <v>11</v>
      </c>
      <c r="E4" s="14" t="s">
        <v>11</v>
      </c>
      <c r="F4" s="14" t="s">
        <v>8</v>
      </c>
      <c r="G4" s="14" t="s">
        <v>9</v>
      </c>
      <c r="H4" s="14" t="s">
        <v>10</v>
      </c>
      <c r="J4" s="25"/>
    </row>
    <row r="5" spans="1:10" ht="15.6" x14ac:dyDescent="0.3">
      <c r="A5" s="2" t="s">
        <v>132</v>
      </c>
      <c r="B5" s="1" t="s">
        <v>137</v>
      </c>
      <c r="C5" s="1"/>
      <c r="D5" s="9">
        <v>-11.285594342161463</v>
      </c>
      <c r="E5" s="9">
        <v>-9.9619177392909855</v>
      </c>
      <c r="F5" s="9">
        <f t="shared" ref="F5:F18" si="0">D5</f>
        <v>-11.285594342161463</v>
      </c>
      <c r="G5" s="9">
        <f>E6</f>
        <v>-3.6051464333185743</v>
      </c>
      <c r="H5" s="9">
        <f t="shared" ref="H5:H18" si="1">E5</f>
        <v>-9.9619177392909855</v>
      </c>
      <c r="J5" t="s">
        <v>55</v>
      </c>
    </row>
    <row r="6" spans="1:10" ht="15.6" x14ac:dyDescent="0.3">
      <c r="A6" s="7"/>
      <c r="B6" s="1" t="s">
        <v>138</v>
      </c>
      <c r="C6" s="1"/>
      <c r="D6" s="9">
        <v>-9.2225478365592721</v>
      </c>
      <c r="E6" s="9">
        <v>-3.6051464333185743</v>
      </c>
      <c r="F6" s="9">
        <f t="shared" si="0"/>
        <v>-9.2225478365592721</v>
      </c>
      <c r="G6" s="9">
        <f>E5</f>
        <v>-9.9619177392909855</v>
      </c>
      <c r="H6" s="9">
        <f t="shared" si="1"/>
        <v>-3.6051464333185743</v>
      </c>
    </row>
    <row r="7" spans="1:10" ht="15.6" x14ac:dyDescent="0.3">
      <c r="A7" s="2" t="s">
        <v>133</v>
      </c>
      <c r="B7" s="1" t="s">
        <v>139</v>
      </c>
      <c r="C7" s="1"/>
      <c r="D7" s="9">
        <v>-13.704771216322449</v>
      </c>
      <c r="E7" s="9">
        <v>-8.5739194347608034</v>
      </c>
      <c r="F7" s="9">
        <f t="shared" si="0"/>
        <v>-13.704771216322449</v>
      </c>
      <c r="G7" s="9">
        <f>E12</f>
        <v>-6.4495908074259125</v>
      </c>
      <c r="H7" s="9">
        <f t="shared" si="1"/>
        <v>-8.5739194347608034</v>
      </c>
    </row>
    <row r="8" spans="1:10" ht="15.6" x14ac:dyDescent="0.3">
      <c r="A8" s="13"/>
      <c r="B8" s="1" t="s">
        <v>140</v>
      </c>
      <c r="C8" s="1"/>
      <c r="D8" s="9">
        <v>-10.053035803806043</v>
      </c>
      <c r="E8" s="9">
        <v>-3.7454597713523752</v>
      </c>
      <c r="F8" s="9">
        <f t="shared" si="0"/>
        <v>-10.053035803806043</v>
      </c>
      <c r="G8" s="9">
        <f>E7</f>
        <v>-8.5739194347608034</v>
      </c>
      <c r="H8" s="9">
        <f t="shared" si="1"/>
        <v>-3.7454597713523752</v>
      </c>
    </row>
    <row r="9" spans="1:10" ht="15.6" x14ac:dyDescent="0.3">
      <c r="A9" s="13"/>
      <c r="B9" s="1" t="s">
        <v>141</v>
      </c>
      <c r="C9" s="1"/>
      <c r="D9" s="9">
        <v>-11.667396906310753</v>
      </c>
      <c r="E9" s="9">
        <v>-4.421207984151831</v>
      </c>
      <c r="F9" s="9">
        <f t="shared" si="0"/>
        <v>-11.667396906310753</v>
      </c>
      <c r="G9" s="9">
        <f>E8</f>
        <v>-3.7454597713523752</v>
      </c>
      <c r="H9" s="9">
        <f t="shared" si="1"/>
        <v>-4.421207984151831</v>
      </c>
    </row>
    <row r="10" spans="1:10" ht="15.6" x14ac:dyDescent="0.3">
      <c r="A10" s="13"/>
      <c r="B10" s="1" t="s">
        <v>142</v>
      </c>
      <c r="C10" s="1"/>
      <c r="D10" s="9">
        <v>-3.7583994625957722</v>
      </c>
      <c r="E10" s="9">
        <v>-11.998988168729841</v>
      </c>
      <c r="F10" s="9">
        <f t="shared" si="0"/>
        <v>-3.7583994625957722</v>
      </c>
      <c r="G10" s="9">
        <f>E9</f>
        <v>-4.421207984151831</v>
      </c>
      <c r="H10" s="9">
        <f t="shared" si="1"/>
        <v>-11.998988168729841</v>
      </c>
    </row>
    <row r="11" spans="1:10" ht="15.6" x14ac:dyDescent="0.3">
      <c r="A11" s="13"/>
      <c r="B11" s="1" t="s">
        <v>143</v>
      </c>
      <c r="C11" s="1"/>
      <c r="D11" s="9">
        <v>-15.60298592672655</v>
      </c>
      <c r="E11" s="9">
        <v>-10.510290057799001</v>
      </c>
      <c r="F11" s="9">
        <f t="shared" si="0"/>
        <v>-15.60298592672655</v>
      </c>
      <c r="G11" s="9">
        <f>E10</f>
        <v>-11.998988168729841</v>
      </c>
      <c r="H11" s="9">
        <f t="shared" si="1"/>
        <v>-10.510290057799001</v>
      </c>
    </row>
    <row r="12" spans="1:10" ht="15.6" x14ac:dyDescent="0.3">
      <c r="A12" s="13"/>
      <c r="B12" s="1" t="s">
        <v>144</v>
      </c>
      <c r="C12" s="1"/>
      <c r="D12" s="9">
        <v>-1.5371636490252283</v>
      </c>
      <c r="E12" s="9">
        <v>-6.4495908074259125</v>
      </c>
      <c r="F12" s="9">
        <f t="shared" si="0"/>
        <v>-1.5371636490252283</v>
      </c>
      <c r="G12" s="9">
        <f>E11</f>
        <v>-10.510290057799001</v>
      </c>
      <c r="H12" s="9">
        <f t="shared" si="1"/>
        <v>-6.4495908074259125</v>
      </c>
    </row>
    <row r="13" spans="1:10" ht="15.6" x14ac:dyDescent="0.3">
      <c r="A13" s="2" t="s">
        <v>134</v>
      </c>
      <c r="B13" s="1" t="s">
        <v>145</v>
      </c>
      <c r="C13" s="1"/>
      <c r="D13" s="9">
        <v>-9.4613272688321093</v>
      </c>
      <c r="E13" s="9">
        <v>-8.8817713081363916</v>
      </c>
      <c r="F13" s="9">
        <f t="shared" si="0"/>
        <v>-9.4613272688321093</v>
      </c>
      <c r="G13" s="9">
        <f>E14</f>
        <v>-3.5312116743827406</v>
      </c>
      <c r="H13" s="9">
        <f t="shared" si="1"/>
        <v>-8.8817713081363916</v>
      </c>
    </row>
    <row r="14" spans="1:10" ht="15.6" x14ac:dyDescent="0.3">
      <c r="A14" s="13"/>
      <c r="B14" s="1" t="s">
        <v>146</v>
      </c>
      <c r="C14" s="1"/>
      <c r="D14" s="9">
        <v>-6.7784571089971246</v>
      </c>
      <c r="E14" s="9">
        <v>-3.5312116743827406</v>
      </c>
      <c r="F14" s="9">
        <f t="shared" si="0"/>
        <v>-6.7784571089971246</v>
      </c>
      <c r="G14" s="9">
        <f>E13</f>
        <v>-8.8817713081363916</v>
      </c>
      <c r="H14" s="9">
        <f t="shared" si="1"/>
        <v>-3.5312116743827406</v>
      </c>
    </row>
    <row r="15" spans="1:10" ht="15.6" x14ac:dyDescent="0.3">
      <c r="A15" s="13"/>
      <c r="B15" s="1" t="s">
        <v>147</v>
      </c>
      <c r="C15" s="1"/>
      <c r="D15" s="9">
        <v>-13.272881311933039</v>
      </c>
      <c r="E15" s="9">
        <v>-4.3427803166585974</v>
      </c>
      <c r="F15" s="9">
        <f t="shared" si="0"/>
        <v>-13.272881311933039</v>
      </c>
      <c r="G15" s="9">
        <f>E14</f>
        <v>-3.5312116743827406</v>
      </c>
      <c r="H15" s="9">
        <f t="shared" si="1"/>
        <v>-4.3427803166585974</v>
      </c>
    </row>
    <row r="16" spans="1:10" ht="15.6" x14ac:dyDescent="0.3">
      <c r="A16" s="2" t="s">
        <v>135</v>
      </c>
      <c r="B16" s="21" t="s">
        <v>148</v>
      </c>
      <c r="C16" s="1"/>
      <c r="D16" s="9">
        <v>-9.644728439746526</v>
      </c>
      <c r="E16" s="9">
        <v>-13.38383584760898</v>
      </c>
      <c r="F16" s="9">
        <f t="shared" si="0"/>
        <v>-9.644728439746526</v>
      </c>
      <c r="G16" s="9">
        <f>E17</f>
        <v>-2.1310256016779494</v>
      </c>
      <c r="H16" s="9">
        <f t="shared" si="1"/>
        <v>-13.38383584760898</v>
      </c>
    </row>
    <row r="17" spans="1:15" ht="15.6" x14ac:dyDescent="0.3">
      <c r="A17" s="13" t="s">
        <v>136</v>
      </c>
      <c r="B17" s="21" t="s">
        <v>149</v>
      </c>
      <c r="C17" s="1"/>
      <c r="D17" s="9">
        <v>-11.306996025795833</v>
      </c>
      <c r="E17" s="9">
        <v>-2.1310256016779494</v>
      </c>
      <c r="F17" s="9">
        <f t="shared" si="0"/>
        <v>-11.306996025795833</v>
      </c>
      <c r="G17" s="9">
        <f>E16</f>
        <v>-13.38383584760898</v>
      </c>
      <c r="H17" s="9">
        <f t="shared" si="1"/>
        <v>-2.1310256016779494</v>
      </c>
    </row>
    <row r="18" spans="1:15" ht="15.6" x14ac:dyDescent="0.3">
      <c r="A18" s="13"/>
      <c r="B18" s="22" t="s">
        <v>150</v>
      </c>
      <c r="C18" s="1"/>
      <c r="D18" s="9">
        <v>-15.889039480123463</v>
      </c>
      <c r="E18" s="9">
        <v>-4.0648816821434819</v>
      </c>
      <c r="F18" s="9">
        <f t="shared" si="0"/>
        <v>-15.889039480123463</v>
      </c>
      <c r="G18" s="9">
        <f>E17</f>
        <v>-2.1310256016779494</v>
      </c>
      <c r="H18" s="9">
        <f t="shared" si="1"/>
        <v>-4.0648816821434819</v>
      </c>
    </row>
    <row r="19" spans="1:15" ht="15.6" x14ac:dyDescent="0.3">
      <c r="A19" s="7"/>
      <c r="B19" s="1"/>
      <c r="C19" s="1"/>
      <c r="D19" s="9"/>
      <c r="E19" s="9"/>
      <c r="F19" s="9"/>
      <c r="G19" s="9"/>
      <c r="H19" s="9"/>
    </row>
    <row r="22" spans="1:15" ht="15.6" x14ac:dyDescent="0.3">
      <c r="A22" s="29" t="s">
        <v>237</v>
      </c>
    </row>
    <row r="24" spans="1:15" ht="15.6" x14ac:dyDescent="0.3">
      <c r="A24" s="2" t="s">
        <v>123</v>
      </c>
      <c r="B24" s="2" t="s">
        <v>124</v>
      </c>
      <c r="C24" s="3" t="s">
        <v>15</v>
      </c>
      <c r="D24" s="111" t="s">
        <v>232</v>
      </c>
      <c r="E24" s="112"/>
      <c r="F24" s="112"/>
      <c r="G24" s="112"/>
      <c r="H24" s="112"/>
      <c r="I24" s="112"/>
      <c r="J24" s="112"/>
      <c r="K24" s="112"/>
      <c r="L24" s="112"/>
      <c r="M24" s="112"/>
      <c r="N24" s="113"/>
      <c r="O24" s="3" t="s">
        <v>234</v>
      </c>
    </row>
    <row r="25" spans="1:15" ht="15.6" x14ac:dyDescent="0.3">
      <c r="A25" s="7"/>
      <c r="B25" s="7"/>
      <c r="C25" s="8" t="s">
        <v>8</v>
      </c>
      <c r="D25" s="9" t="s">
        <v>12</v>
      </c>
      <c r="E25" s="9" t="s">
        <v>13</v>
      </c>
      <c r="F25" s="9" t="s">
        <v>14</v>
      </c>
      <c r="G25" s="9" t="s">
        <v>16</v>
      </c>
      <c r="H25" s="9" t="s">
        <v>17</v>
      </c>
      <c r="I25" s="9" t="s">
        <v>18</v>
      </c>
      <c r="J25" s="9" t="s">
        <v>19</v>
      </c>
      <c r="K25" s="9" t="s">
        <v>20</v>
      </c>
      <c r="L25" s="9" t="s">
        <v>21</v>
      </c>
      <c r="M25" s="9" t="s">
        <v>22</v>
      </c>
      <c r="N25" s="9" t="s">
        <v>23</v>
      </c>
      <c r="O25" s="8" t="s">
        <v>8</v>
      </c>
    </row>
    <row r="26" spans="1:15" ht="15.6" x14ac:dyDescent="0.3">
      <c r="A26" s="2" t="s">
        <v>132</v>
      </c>
      <c r="B26" s="1" t="s">
        <v>137</v>
      </c>
      <c r="C26" s="1">
        <f>F5</f>
        <v>-11.285594342161463</v>
      </c>
      <c r="D26" s="14"/>
      <c r="E26" s="37">
        <f>(-9-C26)/3</f>
        <v>0.7618647807204878</v>
      </c>
      <c r="F26" s="1">
        <f>(C26+12)/3</f>
        <v>0.23813521927951223</v>
      </c>
      <c r="G26" s="14"/>
      <c r="H26" s="14"/>
      <c r="I26" s="14"/>
      <c r="J26" s="14"/>
      <c r="K26" s="14"/>
      <c r="L26" s="14"/>
      <c r="M26" s="14"/>
      <c r="N26" s="14"/>
      <c r="O26" s="14" t="s">
        <v>13</v>
      </c>
    </row>
    <row r="27" spans="1:15" ht="15.6" x14ac:dyDescent="0.3">
      <c r="A27" s="7"/>
      <c r="B27" s="1" t="s">
        <v>138</v>
      </c>
      <c r="C27" s="1">
        <f t="shared" ref="C27:C39" si="2">F6</f>
        <v>-9.2225478365592721</v>
      </c>
      <c r="D27" s="14"/>
      <c r="E27" s="1">
        <f>(-9-C27)/3</f>
        <v>7.4182612186424038E-2</v>
      </c>
      <c r="F27" s="37">
        <f>(C27+12)/3</f>
        <v>0.92581738781357592</v>
      </c>
      <c r="G27" s="14"/>
      <c r="H27" s="14"/>
      <c r="I27" s="14"/>
      <c r="J27" s="14"/>
      <c r="K27" s="14"/>
      <c r="L27" s="14"/>
      <c r="M27" s="14"/>
      <c r="N27" s="14"/>
      <c r="O27" s="14" t="s">
        <v>14</v>
      </c>
    </row>
    <row r="28" spans="1:15" ht="15.6" x14ac:dyDescent="0.3">
      <c r="A28" s="2" t="s">
        <v>133</v>
      </c>
      <c r="B28" s="1" t="s">
        <v>139</v>
      </c>
      <c r="C28" s="1">
        <f t="shared" si="2"/>
        <v>-13.704771216322449</v>
      </c>
      <c r="D28" s="49">
        <f>(-12-C28)/3</f>
        <v>0.568257072107483</v>
      </c>
      <c r="E28" s="14">
        <f>(C28+15)/3</f>
        <v>0.43174292789251706</v>
      </c>
      <c r="F28" s="14"/>
      <c r="G28" s="14"/>
      <c r="H28" s="14"/>
      <c r="I28" s="14"/>
      <c r="J28" s="14"/>
      <c r="K28" s="14"/>
      <c r="L28" s="14"/>
      <c r="M28" s="14"/>
      <c r="N28" s="14"/>
      <c r="O28" s="14" t="s">
        <v>12</v>
      </c>
    </row>
    <row r="29" spans="1:15" ht="15.6" x14ac:dyDescent="0.3">
      <c r="A29" s="13"/>
      <c r="B29" s="1" t="s">
        <v>140</v>
      </c>
      <c r="C29" s="1">
        <f t="shared" si="2"/>
        <v>-10.053035803806043</v>
      </c>
      <c r="D29" s="14"/>
      <c r="E29" s="1">
        <f>(-9-C29)/3</f>
        <v>0.35101193460201446</v>
      </c>
      <c r="F29" s="37">
        <f>(C29+12)/3</f>
        <v>0.64898806539798548</v>
      </c>
      <c r="G29" s="14"/>
      <c r="H29" s="14"/>
      <c r="I29" s="14"/>
      <c r="J29" s="14"/>
      <c r="K29" s="14"/>
      <c r="L29" s="14"/>
      <c r="M29" s="14"/>
      <c r="N29" s="14"/>
      <c r="O29" s="14" t="s">
        <v>14</v>
      </c>
    </row>
    <row r="30" spans="1:15" ht="15.6" x14ac:dyDescent="0.3">
      <c r="A30" s="13"/>
      <c r="B30" s="1" t="s">
        <v>141</v>
      </c>
      <c r="C30" s="1">
        <f t="shared" si="2"/>
        <v>-11.667396906310753</v>
      </c>
      <c r="D30" s="14"/>
      <c r="E30" s="37">
        <f>(-9-C30)/3</f>
        <v>0.88913230210358429</v>
      </c>
      <c r="F30" s="1">
        <f>(C30+12)/3</f>
        <v>0.11086769789641575</v>
      </c>
      <c r="G30" s="14"/>
      <c r="H30" s="14"/>
      <c r="I30" s="14"/>
      <c r="J30" s="14"/>
      <c r="K30" s="14"/>
      <c r="L30" s="14"/>
      <c r="M30" s="14"/>
      <c r="N30" s="14"/>
      <c r="O30" s="14" t="s">
        <v>13</v>
      </c>
    </row>
    <row r="31" spans="1:15" ht="15.6" x14ac:dyDescent="0.3">
      <c r="A31" s="13"/>
      <c r="B31" s="1" t="s">
        <v>142</v>
      </c>
      <c r="C31" s="1">
        <f t="shared" si="2"/>
        <v>-3.7583994625957722</v>
      </c>
      <c r="D31" s="14"/>
      <c r="E31" s="14"/>
      <c r="F31" s="14"/>
      <c r="G31" s="14">
        <f>(-3-C31)/3</f>
        <v>0.25279982086525737</v>
      </c>
      <c r="H31" s="37">
        <f>(C31+6)/3</f>
        <v>0.74720017913474257</v>
      </c>
      <c r="I31" s="14"/>
      <c r="J31" s="14"/>
      <c r="K31" s="14"/>
      <c r="L31" s="14"/>
      <c r="M31" s="14"/>
      <c r="N31" s="14"/>
      <c r="O31" s="14" t="s">
        <v>17</v>
      </c>
    </row>
    <row r="32" spans="1:15" ht="15.6" x14ac:dyDescent="0.3">
      <c r="A32" s="13"/>
      <c r="B32" s="1" t="s">
        <v>143</v>
      </c>
      <c r="C32" s="1">
        <f t="shared" si="2"/>
        <v>-15.60298592672655</v>
      </c>
      <c r="D32" s="14">
        <v>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 t="s">
        <v>12</v>
      </c>
    </row>
    <row r="33" spans="1:15" ht="15.6" x14ac:dyDescent="0.3">
      <c r="A33" s="13"/>
      <c r="B33" s="1" t="s">
        <v>144</v>
      </c>
      <c r="C33" s="1">
        <f t="shared" si="2"/>
        <v>-1.5371636490252283</v>
      </c>
      <c r="D33" s="14"/>
      <c r="E33" s="14"/>
      <c r="F33" s="14"/>
      <c r="G33" s="14"/>
      <c r="H33" s="37">
        <f>(-(C33))/3</f>
        <v>0.51238788300840943</v>
      </c>
      <c r="I33" s="1">
        <f>(C33+3)/3</f>
        <v>0.48761211699159057</v>
      </c>
      <c r="J33" s="14"/>
      <c r="K33" s="14"/>
      <c r="L33" s="14"/>
      <c r="M33" s="14"/>
      <c r="N33" s="14"/>
      <c r="O33" s="14" t="s">
        <v>17</v>
      </c>
    </row>
    <row r="34" spans="1:15" ht="15.6" x14ac:dyDescent="0.3">
      <c r="A34" s="2" t="s">
        <v>134</v>
      </c>
      <c r="B34" s="1" t="s">
        <v>145</v>
      </c>
      <c r="C34" s="1">
        <f t="shared" si="2"/>
        <v>-9.4613272688321093</v>
      </c>
      <c r="D34" s="14"/>
      <c r="E34" s="1">
        <f>(-9-C34)/3</f>
        <v>0.15377575627736975</v>
      </c>
      <c r="F34" s="37">
        <f>(C34+12)/3</f>
        <v>0.84622424372263028</v>
      </c>
      <c r="G34" s="14"/>
      <c r="H34" s="14"/>
      <c r="I34" s="14"/>
      <c r="J34" s="14"/>
      <c r="K34" s="14"/>
      <c r="L34" s="14"/>
      <c r="M34" s="14"/>
      <c r="N34" s="14"/>
      <c r="O34" s="14" t="s">
        <v>14</v>
      </c>
    </row>
    <row r="35" spans="1:15" ht="15.6" x14ac:dyDescent="0.3">
      <c r="A35" s="13"/>
      <c r="B35" s="1" t="s">
        <v>146</v>
      </c>
      <c r="C35" s="1">
        <f t="shared" si="2"/>
        <v>-6.7784571089971246</v>
      </c>
      <c r="D35" s="14"/>
      <c r="E35" s="14"/>
      <c r="F35" s="14">
        <f>(-6-C35)/3</f>
        <v>0.25948570299904156</v>
      </c>
      <c r="G35" s="49">
        <f>(C35+9)/3</f>
        <v>0.7405142970009585</v>
      </c>
      <c r="H35" s="14"/>
      <c r="I35" s="14"/>
      <c r="J35" s="14"/>
      <c r="K35" s="14"/>
      <c r="L35" s="14"/>
      <c r="M35" s="14"/>
      <c r="N35" s="14"/>
      <c r="O35" s="14" t="s">
        <v>16</v>
      </c>
    </row>
    <row r="36" spans="1:15" ht="15.6" x14ac:dyDescent="0.3">
      <c r="A36" s="13"/>
      <c r="B36" s="1" t="s">
        <v>147</v>
      </c>
      <c r="C36" s="1">
        <f t="shared" si="2"/>
        <v>-13.272881311933039</v>
      </c>
      <c r="D36" s="14">
        <f>(-12-C36)/3</f>
        <v>0.42429377064434642</v>
      </c>
      <c r="E36" s="49">
        <f>(C36+15)/3</f>
        <v>0.57570622935565352</v>
      </c>
      <c r="F36" s="14"/>
      <c r="G36" s="14"/>
      <c r="H36" s="14"/>
      <c r="I36" s="14"/>
      <c r="J36" s="14"/>
      <c r="K36" s="14"/>
      <c r="L36" s="14"/>
      <c r="M36" s="14"/>
      <c r="N36" s="14"/>
      <c r="O36" s="14" t="s">
        <v>13</v>
      </c>
    </row>
    <row r="37" spans="1:15" ht="15.6" x14ac:dyDescent="0.3">
      <c r="A37" s="2" t="s">
        <v>135</v>
      </c>
      <c r="B37" s="21" t="s">
        <v>148</v>
      </c>
      <c r="C37" s="1">
        <f t="shared" si="2"/>
        <v>-9.644728439746526</v>
      </c>
      <c r="D37" s="14"/>
      <c r="E37" s="1">
        <f>(-9-C37)/3</f>
        <v>0.21490947991550868</v>
      </c>
      <c r="F37" s="37">
        <f>(C37+12)/3</f>
        <v>0.78509052008449132</v>
      </c>
      <c r="G37" s="14"/>
      <c r="H37" s="14"/>
      <c r="I37" s="14"/>
      <c r="J37" s="14"/>
      <c r="K37" s="14"/>
      <c r="L37" s="14"/>
      <c r="M37" s="14"/>
      <c r="N37" s="14"/>
      <c r="O37" s="14" t="s">
        <v>14</v>
      </c>
    </row>
    <row r="38" spans="1:15" ht="15.6" x14ac:dyDescent="0.3">
      <c r="A38" s="13" t="s">
        <v>136</v>
      </c>
      <c r="B38" s="21" t="s">
        <v>149</v>
      </c>
      <c r="C38" s="1">
        <f t="shared" si="2"/>
        <v>-11.306996025795833</v>
      </c>
      <c r="D38" s="14"/>
      <c r="E38" s="37">
        <f>(-9-C38)/3</f>
        <v>0.76899867526527765</v>
      </c>
      <c r="F38" s="1">
        <f>(C38+12)/3</f>
        <v>0.23100132473472237</v>
      </c>
      <c r="G38" s="14"/>
      <c r="H38" s="14"/>
      <c r="I38" s="14"/>
      <c r="J38" s="14"/>
      <c r="K38" s="14"/>
      <c r="L38" s="14"/>
      <c r="M38" s="14"/>
      <c r="N38" s="14"/>
      <c r="O38" s="14" t="s">
        <v>13</v>
      </c>
    </row>
    <row r="39" spans="1:15" ht="15.6" x14ac:dyDescent="0.3">
      <c r="A39" s="13"/>
      <c r="B39" s="22" t="s">
        <v>150</v>
      </c>
      <c r="C39" s="1">
        <f t="shared" si="2"/>
        <v>-15.889039480123463</v>
      </c>
      <c r="D39" s="14">
        <v>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12</v>
      </c>
    </row>
    <row r="40" spans="1:15" ht="15.6" x14ac:dyDescent="0.3">
      <c r="A40" s="7"/>
      <c r="B40" s="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</row>
    <row r="41" spans="1:15" ht="15.6" x14ac:dyDescent="0.3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ht="15.6" x14ac:dyDescent="0.3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ht="15.6" x14ac:dyDescent="0.3">
      <c r="A43" s="29" t="s">
        <v>238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15.6" x14ac:dyDescent="0.3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1:15" ht="15.6" x14ac:dyDescent="0.3">
      <c r="A45" s="2" t="s">
        <v>123</v>
      </c>
      <c r="B45" s="2" t="s">
        <v>124</v>
      </c>
      <c r="C45" s="3" t="s">
        <v>231</v>
      </c>
      <c r="D45" s="111" t="s">
        <v>232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3"/>
      <c r="O45" s="3" t="s">
        <v>234</v>
      </c>
    </row>
    <row r="46" spans="1:15" ht="15.6" x14ac:dyDescent="0.3">
      <c r="A46" s="7"/>
      <c r="B46" s="7"/>
      <c r="C46" s="8" t="s">
        <v>9</v>
      </c>
      <c r="D46" s="9" t="s">
        <v>12</v>
      </c>
      <c r="E46" s="9" t="s">
        <v>13</v>
      </c>
      <c r="F46" s="9" t="s">
        <v>14</v>
      </c>
      <c r="G46" s="9" t="s">
        <v>16</v>
      </c>
      <c r="H46" s="9" t="s">
        <v>17</v>
      </c>
      <c r="I46" s="9" t="s">
        <v>18</v>
      </c>
      <c r="J46" s="9" t="s">
        <v>19</v>
      </c>
      <c r="K46" s="9" t="s">
        <v>20</v>
      </c>
      <c r="L46" s="9" t="s">
        <v>21</v>
      </c>
      <c r="M46" s="9" t="s">
        <v>22</v>
      </c>
      <c r="N46" s="9" t="s">
        <v>23</v>
      </c>
      <c r="O46" s="8" t="s">
        <v>9</v>
      </c>
    </row>
    <row r="47" spans="1:15" ht="15.6" x14ac:dyDescent="0.3">
      <c r="A47" s="2" t="s">
        <v>132</v>
      </c>
      <c r="B47" s="1" t="s">
        <v>137</v>
      </c>
      <c r="C47" s="1">
        <f>G5</f>
        <v>-3.6051464333185743</v>
      </c>
      <c r="D47" s="14"/>
      <c r="E47" s="1"/>
      <c r="F47" s="1"/>
      <c r="G47" s="14">
        <f>(-3-C47)/3</f>
        <v>0.20171547777285811</v>
      </c>
      <c r="H47" s="37">
        <f>(C47+6)/3</f>
        <v>0.79828452222714186</v>
      </c>
      <c r="I47" s="14"/>
      <c r="J47" s="14"/>
      <c r="K47" s="14"/>
      <c r="L47" s="14"/>
      <c r="M47" s="14"/>
      <c r="N47" s="14"/>
      <c r="O47" s="14" t="s">
        <v>17</v>
      </c>
    </row>
    <row r="48" spans="1:15" ht="15.6" x14ac:dyDescent="0.3">
      <c r="A48" s="7"/>
      <c r="B48" s="1" t="s">
        <v>138</v>
      </c>
      <c r="C48" s="1">
        <f t="shared" ref="C48:C60" si="3">G6</f>
        <v>-9.9619177392909855</v>
      </c>
      <c r="D48" s="14"/>
      <c r="E48" s="1">
        <f>(-9-C48)/3</f>
        <v>0.32063924643032848</v>
      </c>
      <c r="F48" s="37">
        <f>(C48+12)/3</f>
        <v>0.67936075356967152</v>
      </c>
      <c r="G48" s="1"/>
      <c r="H48" s="14"/>
      <c r="I48" s="14"/>
      <c r="J48" s="14"/>
      <c r="K48" s="14"/>
      <c r="L48" s="14"/>
      <c r="M48" s="14"/>
      <c r="N48" s="14"/>
      <c r="O48" s="14" t="s">
        <v>14</v>
      </c>
    </row>
    <row r="49" spans="1:15" ht="15.6" x14ac:dyDescent="0.3">
      <c r="A49" s="2" t="s">
        <v>133</v>
      </c>
      <c r="B49" s="1" t="s">
        <v>139</v>
      </c>
      <c r="C49" s="1">
        <f t="shared" si="3"/>
        <v>-6.4495908074259125</v>
      </c>
      <c r="D49" s="14"/>
      <c r="E49" s="14"/>
      <c r="F49" s="14">
        <f>(-6-C49)/3</f>
        <v>0.14986360247530417</v>
      </c>
      <c r="G49" s="49">
        <f>(C49+9)/3</f>
        <v>0.85013639752469583</v>
      </c>
      <c r="H49" s="1"/>
      <c r="I49" s="1"/>
      <c r="J49" s="14"/>
      <c r="K49" s="14"/>
      <c r="L49" s="14"/>
      <c r="M49" s="14"/>
      <c r="N49" s="14"/>
      <c r="O49" s="14" t="s">
        <v>16</v>
      </c>
    </row>
    <row r="50" spans="1:15" ht="15.6" x14ac:dyDescent="0.3">
      <c r="A50" s="13"/>
      <c r="B50" s="1" t="s">
        <v>140</v>
      </c>
      <c r="C50" s="1">
        <f t="shared" si="3"/>
        <v>-8.5739194347608034</v>
      </c>
      <c r="D50" s="14"/>
      <c r="E50" s="1"/>
      <c r="F50" s="37">
        <f>(-6-C50)/3</f>
        <v>0.85797314492026777</v>
      </c>
      <c r="G50" s="1">
        <f>(C50+9)/3</f>
        <v>0.1420268550797322</v>
      </c>
      <c r="H50" s="14"/>
      <c r="I50" s="14"/>
      <c r="J50" s="14"/>
      <c r="K50" s="14"/>
      <c r="L50" s="14"/>
      <c r="M50" s="14"/>
      <c r="N50" s="14"/>
      <c r="O50" s="14" t="s">
        <v>14</v>
      </c>
    </row>
    <row r="51" spans="1:15" ht="15.6" x14ac:dyDescent="0.3">
      <c r="A51" s="13"/>
      <c r="B51" s="1" t="s">
        <v>141</v>
      </c>
      <c r="C51" s="1">
        <f t="shared" si="3"/>
        <v>-3.7454597713523752</v>
      </c>
      <c r="D51" s="14"/>
      <c r="E51" s="1"/>
      <c r="F51" s="1"/>
      <c r="G51" s="14">
        <f>(-3-C51)/3</f>
        <v>0.24848659045079172</v>
      </c>
      <c r="H51" s="37">
        <f>(C51+6)/3</f>
        <v>0.75151340954920831</v>
      </c>
      <c r="I51" s="14"/>
      <c r="J51" s="14"/>
      <c r="K51" s="14"/>
      <c r="L51" s="14"/>
      <c r="M51" s="14"/>
      <c r="N51" s="14"/>
      <c r="O51" s="14" t="s">
        <v>17</v>
      </c>
    </row>
    <row r="52" spans="1:15" ht="15.6" x14ac:dyDescent="0.3">
      <c r="A52" s="13"/>
      <c r="B52" s="1" t="s">
        <v>142</v>
      </c>
      <c r="C52" s="1">
        <f t="shared" si="3"/>
        <v>-4.421207984151831</v>
      </c>
      <c r="D52" s="14"/>
      <c r="E52" s="1"/>
      <c r="F52" s="1"/>
      <c r="G52" s="14">
        <f>(-3-C52)/3</f>
        <v>0.47373599471727701</v>
      </c>
      <c r="H52" s="37">
        <f>(C52+6)/3</f>
        <v>0.52626400528272299</v>
      </c>
      <c r="I52" s="14"/>
      <c r="J52" s="14"/>
      <c r="K52" s="14"/>
      <c r="L52" s="14"/>
      <c r="M52" s="14"/>
      <c r="N52" s="14"/>
      <c r="O52" s="14" t="s">
        <v>17</v>
      </c>
    </row>
    <row r="53" spans="1:15" ht="15.6" x14ac:dyDescent="0.3">
      <c r="A53" s="13"/>
      <c r="B53" s="1" t="s">
        <v>143</v>
      </c>
      <c r="C53" s="1">
        <f t="shared" si="3"/>
        <v>-11.998988168729841</v>
      </c>
      <c r="D53" s="14"/>
      <c r="E53" s="37">
        <f>(-9-C53)/3</f>
        <v>0.99966272290994718</v>
      </c>
      <c r="F53" s="1">
        <f>(C53+12)/3</f>
        <v>3.3727709005286027E-4</v>
      </c>
      <c r="G53" s="14"/>
      <c r="H53" s="1"/>
      <c r="I53" s="1"/>
      <c r="J53" s="14"/>
      <c r="K53" s="14"/>
      <c r="L53" s="14"/>
      <c r="M53" s="14"/>
      <c r="N53" s="14"/>
      <c r="O53" s="14" t="s">
        <v>13</v>
      </c>
    </row>
    <row r="54" spans="1:15" ht="15.6" x14ac:dyDescent="0.3">
      <c r="A54" s="13"/>
      <c r="B54" s="1" t="s">
        <v>144</v>
      </c>
      <c r="C54" s="1">
        <f t="shared" si="3"/>
        <v>-10.510290057799001</v>
      </c>
      <c r="D54" s="14"/>
      <c r="E54" s="37">
        <f>(-9-C54)/3</f>
        <v>0.50343001926633357</v>
      </c>
      <c r="F54" s="1">
        <f>(C54+12)/3</f>
        <v>0.49656998073366648</v>
      </c>
      <c r="G54" s="14"/>
      <c r="H54" s="14"/>
      <c r="I54" s="14"/>
      <c r="J54" s="14"/>
      <c r="K54" s="14"/>
      <c r="L54" s="14"/>
      <c r="M54" s="14"/>
      <c r="N54" s="14"/>
      <c r="O54" s="14" t="s">
        <v>13</v>
      </c>
    </row>
    <row r="55" spans="1:15" ht="15.6" x14ac:dyDescent="0.3">
      <c r="A55" s="2" t="s">
        <v>134</v>
      </c>
      <c r="B55" s="1" t="s">
        <v>145</v>
      </c>
      <c r="C55" s="1">
        <f t="shared" si="3"/>
        <v>-3.5312116743827406</v>
      </c>
      <c r="D55" s="14"/>
      <c r="E55" s="14"/>
      <c r="F55" s="14"/>
      <c r="G55" s="14">
        <f>(-3-C55)/3</f>
        <v>0.17707055812758021</v>
      </c>
      <c r="H55" s="37">
        <f>(C55+6)/3</f>
        <v>0.82292944187241979</v>
      </c>
      <c r="I55" s="14"/>
      <c r="J55" s="14"/>
      <c r="K55" s="14"/>
      <c r="L55" s="14"/>
      <c r="M55" s="14"/>
      <c r="N55" s="14"/>
      <c r="O55" s="14" t="s">
        <v>17</v>
      </c>
    </row>
    <row r="56" spans="1:15" ht="15.6" x14ac:dyDescent="0.3">
      <c r="A56" s="13"/>
      <c r="B56" s="1" t="s">
        <v>146</v>
      </c>
      <c r="C56" s="1">
        <f t="shared" si="3"/>
        <v>-8.8817713081363916</v>
      </c>
      <c r="D56" s="14"/>
      <c r="E56" s="1"/>
      <c r="F56" s="37">
        <f>(-6-C56)/3</f>
        <v>0.9605904360454639</v>
      </c>
      <c r="G56" s="1">
        <f>(C56+9)/3</f>
        <v>3.9409563954536132E-2</v>
      </c>
      <c r="H56" s="14"/>
      <c r="I56" s="14"/>
      <c r="J56" s="14"/>
      <c r="K56" s="14"/>
      <c r="L56" s="14"/>
      <c r="M56" s="14"/>
      <c r="N56" s="14"/>
      <c r="O56" s="14" t="s">
        <v>14</v>
      </c>
    </row>
    <row r="57" spans="1:15" ht="15.6" x14ac:dyDescent="0.3">
      <c r="A57" s="13"/>
      <c r="B57" s="1" t="s">
        <v>147</v>
      </c>
      <c r="C57" s="1">
        <f t="shared" si="3"/>
        <v>-3.5312116743827406</v>
      </c>
      <c r="D57" s="14"/>
      <c r="E57" s="14"/>
      <c r="F57" s="14"/>
      <c r="G57" s="14">
        <f>(-3-C57)/3</f>
        <v>0.17707055812758021</v>
      </c>
      <c r="H57" s="37">
        <f>(C57+6)/3</f>
        <v>0.82292944187241979</v>
      </c>
      <c r="I57" s="14"/>
      <c r="J57" s="14"/>
      <c r="K57" s="14"/>
      <c r="L57" s="14"/>
      <c r="M57" s="14"/>
      <c r="N57" s="14"/>
      <c r="O57" s="14" t="s">
        <v>17</v>
      </c>
    </row>
    <row r="58" spans="1:15" ht="15.6" x14ac:dyDescent="0.3">
      <c r="A58" s="2" t="s">
        <v>135</v>
      </c>
      <c r="B58" s="21" t="s">
        <v>148</v>
      </c>
      <c r="C58" s="1">
        <f t="shared" si="3"/>
        <v>-2.1310256016779494</v>
      </c>
      <c r="D58" s="14"/>
      <c r="E58" s="1"/>
      <c r="F58" s="1"/>
      <c r="G58" s="1"/>
      <c r="H58" s="49">
        <f>(-C58)/3</f>
        <v>0.71034186722598314</v>
      </c>
      <c r="I58" s="14">
        <f>(C58+3)/3</f>
        <v>0.28965813277401686</v>
      </c>
      <c r="J58" s="14"/>
      <c r="K58" s="14"/>
      <c r="L58" s="14"/>
      <c r="M58" s="14"/>
      <c r="N58" s="14"/>
      <c r="O58" s="14" t="s">
        <v>17</v>
      </c>
    </row>
    <row r="59" spans="1:15" ht="15.6" x14ac:dyDescent="0.3">
      <c r="A59" s="13" t="s">
        <v>136</v>
      </c>
      <c r="B59" s="21" t="s">
        <v>149</v>
      </c>
      <c r="C59" s="1">
        <f t="shared" si="3"/>
        <v>-13.38383584760898</v>
      </c>
      <c r="D59" s="14">
        <f>(-12-C59)/3</f>
        <v>0.46127861586965996</v>
      </c>
      <c r="E59" s="49">
        <f>(C59+15)/3</f>
        <v>0.5387213841303401</v>
      </c>
      <c r="F59" s="1"/>
      <c r="G59" s="1"/>
      <c r="H59" s="14"/>
      <c r="I59" s="14"/>
      <c r="J59" s="14"/>
      <c r="K59" s="14"/>
      <c r="L59" s="14"/>
      <c r="M59" s="14"/>
      <c r="N59" s="14"/>
      <c r="O59" s="14" t="s">
        <v>13</v>
      </c>
    </row>
    <row r="60" spans="1:15" ht="15.6" x14ac:dyDescent="0.3">
      <c r="A60" s="13"/>
      <c r="B60" s="22" t="s">
        <v>150</v>
      </c>
      <c r="C60" s="1">
        <f t="shared" si="3"/>
        <v>-2.1310256016779494</v>
      </c>
      <c r="D60" s="14"/>
      <c r="E60" s="1"/>
      <c r="F60" s="1"/>
      <c r="G60" s="1"/>
      <c r="H60" s="49">
        <f>(-C60)/3</f>
        <v>0.71034186722598314</v>
      </c>
      <c r="I60" s="14">
        <f>(C60+3)/3</f>
        <v>0.28965813277401686</v>
      </c>
      <c r="J60" s="14"/>
      <c r="K60" s="14"/>
      <c r="L60" s="14"/>
      <c r="M60" s="14"/>
      <c r="N60" s="14"/>
      <c r="O60" s="14" t="s">
        <v>17</v>
      </c>
    </row>
    <row r="61" spans="1:15" ht="15.6" x14ac:dyDescent="0.3">
      <c r="A61" s="7"/>
      <c r="B61" s="21"/>
      <c r="C61" s="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.6" x14ac:dyDescent="0.3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5.6" x14ac:dyDescent="0.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5.6" x14ac:dyDescent="0.3">
      <c r="A64" s="29" t="s">
        <v>239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5.6" x14ac:dyDescent="0.3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5.6" x14ac:dyDescent="0.3">
      <c r="A66" s="2" t="s">
        <v>123</v>
      </c>
      <c r="B66" s="2" t="s">
        <v>124</v>
      </c>
      <c r="C66" s="3" t="s">
        <v>231</v>
      </c>
      <c r="D66" s="111" t="s">
        <v>232</v>
      </c>
      <c r="E66" s="112"/>
      <c r="F66" s="112"/>
      <c r="G66" s="112"/>
      <c r="H66" s="112"/>
      <c r="I66" s="112"/>
      <c r="J66" s="112"/>
      <c r="K66" s="112"/>
      <c r="L66" s="112"/>
      <c r="M66" s="112"/>
      <c r="N66" s="113"/>
      <c r="O66" s="3" t="s">
        <v>24</v>
      </c>
    </row>
    <row r="67" spans="1:15" ht="15.6" x14ac:dyDescent="0.3">
      <c r="A67" s="7"/>
      <c r="B67" s="7"/>
      <c r="C67" s="8" t="s">
        <v>10</v>
      </c>
      <c r="D67" s="9" t="s">
        <v>12</v>
      </c>
      <c r="E67" s="9" t="s">
        <v>13</v>
      </c>
      <c r="F67" s="9" t="s">
        <v>14</v>
      </c>
      <c r="G67" s="9" t="s">
        <v>16</v>
      </c>
      <c r="H67" s="9" t="s">
        <v>17</v>
      </c>
      <c r="I67" s="9" t="s">
        <v>18</v>
      </c>
      <c r="J67" s="9" t="s">
        <v>19</v>
      </c>
      <c r="K67" s="9" t="s">
        <v>20</v>
      </c>
      <c r="L67" s="9" t="s">
        <v>21</v>
      </c>
      <c r="M67" s="9" t="s">
        <v>22</v>
      </c>
      <c r="N67" s="9" t="s">
        <v>23</v>
      </c>
      <c r="O67" s="8" t="s">
        <v>10</v>
      </c>
    </row>
    <row r="68" spans="1:15" ht="15.6" x14ac:dyDescent="0.3">
      <c r="A68" s="2" t="s">
        <v>132</v>
      </c>
      <c r="B68" s="1" t="s">
        <v>137</v>
      </c>
      <c r="C68" s="1">
        <f>H5</f>
        <v>-9.9619177392909855</v>
      </c>
      <c r="D68" s="14"/>
      <c r="E68" s="1">
        <f>(-9-C68)/3</f>
        <v>0.32063924643032848</v>
      </c>
      <c r="F68" s="37">
        <f>(C68+12)/3</f>
        <v>0.67936075356967152</v>
      </c>
      <c r="G68" s="1"/>
      <c r="H68" s="14"/>
      <c r="I68" s="14"/>
      <c r="J68" s="14"/>
      <c r="K68" s="14"/>
      <c r="L68" s="14"/>
      <c r="M68" s="14"/>
      <c r="N68" s="14"/>
      <c r="O68" s="14" t="s">
        <v>14</v>
      </c>
    </row>
    <row r="69" spans="1:15" ht="15.6" x14ac:dyDescent="0.3">
      <c r="A69" s="7"/>
      <c r="B69" s="1" t="s">
        <v>138</v>
      </c>
      <c r="C69" s="1">
        <f t="shared" ref="C69:C81" si="4">H6</f>
        <v>-3.6051464333185743</v>
      </c>
      <c r="D69" s="14"/>
      <c r="E69" s="1"/>
      <c r="F69" s="1"/>
      <c r="G69" s="14">
        <f>(-3-C69)/3</f>
        <v>0.20171547777285811</v>
      </c>
      <c r="H69" s="37">
        <f>(C69+6)/3</f>
        <v>0.79828452222714186</v>
      </c>
      <c r="I69" s="14"/>
      <c r="J69" s="14"/>
      <c r="K69" s="14"/>
      <c r="L69" s="14"/>
      <c r="M69" s="14"/>
      <c r="N69" s="14"/>
      <c r="O69" s="14" t="s">
        <v>17</v>
      </c>
    </row>
    <row r="70" spans="1:15" ht="15.6" x14ac:dyDescent="0.3">
      <c r="A70" s="2" t="s">
        <v>133</v>
      </c>
      <c r="B70" s="1" t="s">
        <v>139</v>
      </c>
      <c r="C70" s="1">
        <f t="shared" si="4"/>
        <v>-8.5739194347608034</v>
      </c>
      <c r="D70" s="14"/>
      <c r="E70" s="1"/>
      <c r="F70" s="37">
        <f>(-6-C70)/3</f>
        <v>0.85797314492026777</v>
      </c>
      <c r="G70" s="1">
        <f>(C70+9)/3</f>
        <v>0.1420268550797322</v>
      </c>
      <c r="H70" s="14"/>
      <c r="I70" s="14"/>
      <c r="J70" s="14"/>
      <c r="K70" s="14"/>
      <c r="L70" s="14"/>
      <c r="M70" s="14"/>
      <c r="N70" s="14"/>
      <c r="O70" s="14" t="s">
        <v>14</v>
      </c>
    </row>
    <row r="71" spans="1:15" ht="15.6" x14ac:dyDescent="0.3">
      <c r="A71" s="13"/>
      <c r="B71" s="1" t="s">
        <v>140</v>
      </c>
      <c r="C71" s="1">
        <f t="shared" si="4"/>
        <v>-3.7454597713523752</v>
      </c>
      <c r="D71" s="14"/>
      <c r="E71" s="1"/>
      <c r="F71" s="1"/>
      <c r="G71" s="14">
        <f>(-3-C71)/3</f>
        <v>0.24848659045079172</v>
      </c>
      <c r="H71" s="37">
        <f>(C71+6)/3</f>
        <v>0.75151340954920831</v>
      </c>
      <c r="I71" s="14"/>
      <c r="J71" s="14"/>
      <c r="K71" s="14"/>
      <c r="L71" s="14"/>
      <c r="M71" s="14"/>
      <c r="N71" s="14"/>
      <c r="O71" s="14" t="s">
        <v>17</v>
      </c>
    </row>
    <row r="72" spans="1:15" ht="15.6" x14ac:dyDescent="0.3">
      <c r="A72" s="13"/>
      <c r="B72" s="1" t="s">
        <v>141</v>
      </c>
      <c r="C72" s="1">
        <f t="shared" si="4"/>
        <v>-4.421207984151831</v>
      </c>
      <c r="D72" s="14"/>
      <c r="E72" s="1"/>
      <c r="F72" s="1"/>
      <c r="G72" s="14">
        <f>(-3-C72)/3</f>
        <v>0.47373599471727701</v>
      </c>
      <c r="H72" s="37">
        <f>(C72+6)/3</f>
        <v>0.52626400528272299</v>
      </c>
      <c r="I72" s="14"/>
      <c r="J72" s="14"/>
      <c r="K72" s="14"/>
      <c r="L72" s="14"/>
      <c r="M72" s="14"/>
      <c r="N72" s="14"/>
      <c r="O72" s="14" t="s">
        <v>17</v>
      </c>
    </row>
    <row r="73" spans="1:15" ht="15.6" x14ac:dyDescent="0.3">
      <c r="A73" s="13"/>
      <c r="B73" s="1" t="s">
        <v>142</v>
      </c>
      <c r="C73" s="1">
        <f t="shared" si="4"/>
        <v>-11.998988168729841</v>
      </c>
      <c r="D73" s="14"/>
      <c r="E73" s="37">
        <f>(-9-C73)/3</f>
        <v>0.99966272290994718</v>
      </c>
      <c r="F73" s="1">
        <f>(C73+12)/3</f>
        <v>3.3727709005286027E-4</v>
      </c>
      <c r="G73" s="14"/>
      <c r="H73" s="1"/>
      <c r="I73" s="1"/>
      <c r="J73" s="14"/>
      <c r="K73" s="14"/>
      <c r="L73" s="14"/>
      <c r="M73" s="14"/>
      <c r="N73" s="14"/>
      <c r="O73" s="14" t="s">
        <v>13</v>
      </c>
    </row>
    <row r="74" spans="1:15" ht="15.6" x14ac:dyDescent="0.3">
      <c r="A74" s="13"/>
      <c r="B74" s="1" t="s">
        <v>143</v>
      </c>
      <c r="C74" s="1">
        <f t="shared" si="4"/>
        <v>-10.510290057799001</v>
      </c>
      <c r="D74" s="14"/>
      <c r="E74" s="37">
        <f>(-9-C74)/3</f>
        <v>0.50343001926633357</v>
      </c>
      <c r="F74" s="1">
        <f>(C74+12)/3</f>
        <v>0.49656998073366648</v>
      </c>
      <c r="G74" s="14"/>
      <c r="H74" s="14"/>
      <c r="I74" s="14"/>
      <c r="J74" s="14"/>
      <c r="K74" s="14"/>
      <c r="L74" s="14"/>
      <c r="M74" s="14"/>
      <c r="N74" s="14"/>
      <c r="O74" s="14" t="s">
        <v>13</v>
      </c>
    </row>
    <row r="75" spans="1:15" ht="15.6" x14ac:dyDescent="0.3">
      <c r="A75" s="13"/>
      <c r="B75" s="1" t="s">
        <v>144</v>
      </c>
      <c r="C75" s="1">
        <f t="shared" si="4"/>
        <v>-6.4495908074259125</v>
      </c>
      <c r="D75" s="14"/>
      <c r="E75" s="14"/>
      <c r="F75" s="14">
        <f>(-6-C75)/3</f>
        <v>0.14986360247530417</v>
      </c>
      <c r="G75" s="49">
        <f>(C75+9)/3</f>
        <v>0.85013639752469583</v>
      </c>
      <c r="H75" s="1"/>
      <c r="I75" s="1"/>
      <c r="J75" s="14"/>
      <c r="K75" s="14"/>
      <c r="L75" s="14"/>
      <c r="M75" s="14"/>
      <c r="N75" s="14"/>
      <c r="O75" s="14" t="s">
        <v>16</v>
      </c>
    </row>
    <row r="76" spans="1:15" ht="15.6" x14ac:dyDescent="0.3">
      <c r="A76" s="2" t="s">
        <v>134</v>
      </c>
      <c r="B76" s="1" t="s">
        <v>145</v>
      </c>
      <c r="C76" s="1">
        <f t="shared" si="4"/>
        <v>-8.8817713081363916</v>
      </c>
      <c r="D76" s="14"/>
      <c r="E76" s="1"/>
      <c r="F76" s="37">
        <f>(-6-C76)/3</f>
        <v>0.9605904360454639</v>
      </c>
      <c r="G76" s="1">
        <f>(C76+9)/3</f>
        <v>3.9409563954536132E-2</v>
      </c>
      <c r="H76" s="14"/>
      <c r="I76" s="14"/>
      <c r="J76" s="14"/>
      <c r="K76" s="14"/>
      <c r="L76" s="14"/>
      <c r="M76" s="14"/>
      <c r="N76" s="14"/>
      <c r="O76" s="14" t="s">
        <v>14</v>
      </c>
    </row>
    <row r="77" spans="1:15" ht="15.6" x14ac:dyDescent="0.3">
      <c r="A77" s="13"/>
      <c r="B77" s="1" t="s">
        <v>146</v>
      </c>
      <c r="C77" s="1">
        <f t="shared" si="4"/>
        <v>-3.5312116743827406</v>
      </c>
      <c r="D77" s="14"/>
      <c r="E77" s="14"/>
      <c r="F77" s="14"/>
      <c r="G77" s="14">
        <f>(-3-C77)/3</f>
        <v>0.17707055812758021</v>
      </c>
      <c r="H77" s="37">
        <f>(C77+6)/3</f>
        <v>0.82292944187241979</v>
      </c>
      <c r="I77" s="14"/>
      <c r="J77" s="14"/>
      <c r="K77" s="14"/>
      <c r="L77" s="14"/>
      <c r="M77" s="14"/>
      <c r="N77" s="14"/>
      <c r="O77" s="14" t="s">
        <v>17</v>
      </c>
    </row>
    <row r="78" spans="1:15" ht="15.6" x14ac:dyDescent="0.3">
      <c r="A78" s="13"/>
      <c r="B78" s="1" t="s">
        <v>147</v>
      </c>
      <c r="C78" s="1">
        <f t="shared" si="4"/>
        <v>-4.3427803166585974</v>
      </c>
      <c r="D78" s="14"/>
      <c r="E78" s="1"/>
      <c r="F78" s="1"/>
      <c r="G78" s="14">
        <f>(-3-C78)/3</f>
        <v>0.44759343888619912</v>
      </c>
      <c r="H78" s="37">
        <f>(C78+6)/3</f>
        <v>0.55240656111380082</v>
      </c>
      <c r="I78" s="14"/>
      <c r="J78" s="14"/>
      <c r="K78" s="14"/>
      <c r="L78" s="14"/>
      <c r="M78" s="14"/>
      <c r="N78" s="14"/>
      <c r="O78" s="14" t="s">
        <v>17</v>
      </c>
    </row>
    <row r="79" spans="1:15" ht="15.6" x14ac:dyDescent="0.3">
      <c r="A79" s="2" t="s">
        <v>135</v>
      </c>
      <c r="B79" s="21" t="s">
        <v>148</v>
      </c>
      <c r="C79" s="1">
        <f t="shared" si="4"/>
        <v>-13.38383584760898</v>
      </c>
      <c r="D79" s="14">
        <f>(-12-C79)/3</f>
        <v>0.46127861586965996</v>
      </c>
      <c r="E79" s="49">
        <f>(C79+15)/3</f>
        <v>0.5387213841303401</v>
      </c>
      <c r="F79" s="1"/>
      <c r="G79" s="1"/>
      <c r="H79" s="14"/>
      <c r="I79" s="14"/>
      <c r="J79" s="14"/>
      <c r="K79" s="14"/>
      <c r="L79" s="14"/>
      <c r="M79" s="14"/>
      <c r="N79" s="14"/>
      <c r="O79" s="14" t="s">
        <v>13</v>
      </c>
    </row>
    <row r="80" spans="1:15" ht="15.6" x14ac:dyDescent="0.3">
      <c r="A80" s="13" t="s">
        <v>136</v>
      </c>
      <c r="B80" s="21" t="s">
        <v>149</v>
      </c>
      <c r="C80" s="1">
        <f t="shared" si="4"/>
        <v>-2.1310256016779494</v>
      </c>
      <c r="D80" s="14"/>
      <c r="E80" s="1"/>
      <c r="F80" s="1"/>
      <c r="G80" s="1"/>
      <c r="H80" s="49">
        <f>(-C80)/3</f>
        <v>0.71034186722598314</v>
      </c>
      <c r="I80" s="14">
        <f>(C80+3)/3</f>
        <v>0.28965813277401686</v>
      </c>
      <c r="J80" s="14"/>
      <c r="K80" s="14"/>
      <c r="L80" s="14"/>
      <c r="M80" s="14"/>
      <c r="N80" s="14"/>
      <c r="O80" s="14" t="s">
        <v>17</v>
      </c>
    </row>
    <row r="81" spans="1:15" ht="15.6" x14ac:dyDescent="0.3">
      <c r="A81" s="13"/>
      <c r="B81" s="22" t="s">
        <v>150</v>
      </c>
      <c r="C81" s="1">
        <f t="shared" si="4"/>
        <v>-4.0648816821434819</v>
      </c>
      <c r="D81" s="14"/>
      <c r="E81" s="1"/>
      <c r="F81" s="1"/>
      <c r="G81" s="14">
        <f>(-3-C81)/3</f>
        <v>0.35496056071449394</v>
      </c>
      <c r="H81" s="37">
        <f>(C81+6)/3</f>
        <v>0.645039439285506</v>
      </c>
      <c r="I81" s="14"/>
      <c r="J81" s="14"/>
      <c r="K81" s="14"/>
      <c r="L81" s="14"/>
      <c r="M81" s="14"/>
      <c r="N81" s="14"/>
      <c r="O81" s="14" t="s">
        <v>17</v>
      </c>
    </row>
    <row r="82" spans="1:15" ht="15.6" x14ac:dyDescent="0.3">
      <c r="A82" s="7"/>
      <c r="B82" s="1"/>
      <c r="C82" s="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4" spans="1:15" ht="15.6" x14ac:dyDescent="0.3">
      <c r="A84" s="16"/>
    </row>
    <row r="86" spans="1:15" ht="15.6" x14ac:dyDescent="0.3">
      <c r="A86" s="16"/>
    </row>
  </sheetData>
  <mergeCells count="4">
    <mergeCell ref="F3:G3"/>
    <mergeCell ref="D24:N24"/>
    <mergeCell ref="D45:N45"/>
    <mergeCell ref="D66:N66"/>
  </mergeCells>
  <pageMargins left="0.7" right="0.7" top="0.75" bottom="0.75" header="0.3" footer="0.3"/>
  <pageSetup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9B50-FF17-4BD0-B61C-FEDB2AF14870}">
  <dimension ref="A2:P33"/>
  <sheetViews>
    <sheetView topLeftCell="A3" zoomScale="70" zoomScaleNormal="70" workbookViewId="0">
      <selection activeCell="M28" sqref="M28"/>
    </sheetView>
  </sheetViews>
  <sheetFormatPr defaultRowHeight="14.4" x14ac:dyDescent="0.3"/>
  <cols>
    <col min="4" max="4" width="10.33203125" customWidth="1"/>
    <col min="11" max="11" width="11.109375" customWidth="1"/>
  </cols>
  <sheetData>
    <row r="2" spans="1:16" ht="15.6" x14ac:dyDescent="0.3">
      <c r="A2" s="29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15.6" x14ac:dyDescent="0.3">
      <c r="A3" s="16"/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/>
      <c r="N3" s="16"/>
      <c r="O3" s="16"/>
    </row>
    <row r="4" spans="1:16" ht="15.6" x14ac:dyDescent="0.3">
      <c r="A4" s="9" t="s">
        <v>30</v>
      </c>
      <c r="B4" s="9" t="s">
        <v>12</v>
      </c>
      <c r="C4" s="9" t="s">
        <v>13</v>
      </c>
      <c r="D4" s="9" t="s">
        <v>14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16"/>
      <c r="N4" s="26"/>
      <c r="O4" s="26"/>
      <c r="P4" s="26"/>
    </row>
    <row r="5" spans="1:16" ht="15.6" x14ac:dyDescent="0.3">
      <c r="A5" s="9" t="s">
        <v>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6"/>
      <c r="N5" s="26"/>
      <c r="O5" s="26"/>
      <c r="P5" s="26"/>
    </row>
    <row r="6" spans="1:16" ht="15.6" x14ac:dyDescent="0.3">
      <c r="A6" s="9" t="s">
        <v>13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26"/>
      <c r="O6" s="26"/>
      <c r="P6" s="26"/>
    </row>
    <row r="7" spans="1:16" ht="15.6" x14ac:dyDescent="0.3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6"/>
      <c r="N7" s="26"/>
      <c r="O7" s="26"/>
      <c r="P7" s="26"/>
    </row>
    <row r="8" spans="1:16" ht="15.6" x14ac:dyDescent="0.3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6"/>
      <c r="N8" s="26"/>
      <c r="O8" s="26"/>
      <c r="P8" s="26"/>
    </row>
    <row r="9" spans="1:16" ht="15.6" x14ac:dyDescent="0.3">
      <c r="A9" s="9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6"/>
      <c r="N9" s="26"/>
      <c r="O9" s="26"/>
      <c r="P9" s="26"/>
    </row>
    <row r="10" spans="1:16" ht="15.6" x14ac:dyDescent="0.3">
      <c r="A10" s="9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6"/>
      <c r="N10" s="26"/>
      <c r="O10" s="26"/>
      <c r="P10" s="26"/>
    </row>
    <row r="11" spans="1:16" ht="15.6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6"/>
      <c r="N11" s="26"/>
      <c r="O11" s="26"/>
      <c r="P11" s="26"/>
    </row>
    <row r="12" spans="1:16" ht="15.6" x14ac:dyDescent="0.3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6"/>
      <c r="N12" s="26"/>
      <c r="O12" s="26"/>
      <c r="P12" s="26"/>
    </row>
    <row r="13" spans="1:16" ht="15.6" x14ac:dyDescent="0.3">
      <c r="A13" s="9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6"/>
      <c r="N13" s="26"/>
      <c r="O13" s="26"/>
      <c r="P13" s="26"/>
    </row>
    <row r="14" spans="1:16" ht="15.6" x14ac:dyDescent="0.3">
      <c r="A14" s="9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6"/>
      <c r="N14" s="26"/>
      <c r="O14" s="26"/>
      <c r="P14" s="26"/>
    </row>
    <row r="15" spans="1:16" ht="15.6" x14ac:dyDescent="0.3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6"/>
      <c r="N15" s="26"/>
      <c r="O15" s="26"/>
      <c r="P15" s="26"/>
    </row>
    <row r="16" spans="1:16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6"/>
      <c r="O16" s="26"/>
      <c r="P16" s="26"/>
    </row>
    <row r="17" spans="1:16" ht="15.6" x14ac:dyDescent="0.3">
      <c r="A17" s="3" t="s">
        <v>31</v>
      </c>
      <c r="B17" s="107" t="s">
        <v>33</v>
      </c>
      <c r="C17" s="108"/>
      <c r="D17" s="2" t="s">
        <v>34</v>
      </c>
      <c r="E17" s="16"/>
      <c r="F17" s="3" t="s">
        <v>31</v>
      </c>
      <c r="G17" s="107" t="s">
        <v>33</v>
      </c>
      <c r="H17" s="108"/>
      <c r="I17" s="2" t="s">
        <v>34</v>
      </c>
      <c r="J17" s="16"/>
      <c r="K17" s="16"/>
      <c r="L17" s="16"/>
      <c r="M17" s="16"/>
      <c r="N17" s="26"/>
      <c r="O17" s="26"/>
      <c r="P17" s="26"/>
    </row>
    <row r="18" spans="1:16" ht="15.6" x14ac:dyDescent="0.3">
      <c r="A18" s="8" t="s">
        <v>32</v>
      </c>
      <c r="B18" s="23" t="s">
        <v>8</v>
      </c>
      <c r="C18" s="24" t="s">
        <v>9</v>
      </c>
      <c r="D18" s="9" t="s">
        <v>10</v>
      </c>
      <c r="E18" s="16"/>
      <c r="F18" s="8" t="s">
        <v>32</v>
      </c>
      <c r="G18" s="23" t="s">
        <v>8</v>
      </c>
      <c r="H18" s="24" t="s">
        <v>9</v>
      </c>
      <c r="I18" s="9" t="s">
        <v>10</v>
      </c>
      <c r="J18" s="16"/>
      <c r="K18" s="16"/>
      <c r="L18" s="16"/>
      <c r="M18" s="16"/>
      <c r="N18" s="16"/>
      <c r="O18" s="16"/>
    </row>
    <row r="19" spans="1:16" ht="15.6" x14ac:dyDescent="0.3">
      <c r="A19" s="9">
        <v>1</v>
      </c>
      <c r="B19" s="14" t="str">
        <f>'VLD(x,y,z)2022'!O26</f>
        <v>ZE</v>
      </c>
      <c r="C19" s="14" t="str">
        <f>'VLD(x,y,z)2022'!O47</f>
        <v>NS</v>
      </c>
      <c r="D19" s="14" t="str">
        <f>'VLD(x,y,z)2022'!O68</f>
        <v>ZE</v>
      </c>
      <c r="E19" s="16"/>
      <c r="F19" s="9">
        <v>1</v>
      </c>
      <c r="G19" s="14">
        <v>6</v>
      </c>
      <c r="H19" s="14">
        <v>4</v>
      </c>
      <c r="I19" s="14">
        <v>6</v>
      </c>
      <c r="J19" s="16"/>
      <c r="K19" s="16"/>
      <c r="L19" s="16"/>
      <c r="M19" s="16"/>
      <c r="N19" s="16"/>
      <c r="O19" s="16"/>
    </row>
    <row r="20" spans="1:16" ht="15.6" x14ac:dyDescent="0.3">
      <c r="A20" s="9">
        <v>2</v>
      </c>
      <c r="B20" s="14" t="str">
        <f>'VLD(x,y,z)2022'!O27</f>
        <v>NVS</v>
      </c>
      <c r="C20" s="14" t="str">
        <f>'VLD(x,y,z)2022'!O48</f>
        <v>ZE</v>
      </c>
      <c r="D20" s="14" t="str">
        <f>'VLD(x,y,z)2022'!O69</f>
        <v>NS</v>
      </c>
      <c r="E20" s="16"/>
      <c r="F20" s="9">
        <v>2</v>
      </c>
      <c r="G20" s="14">
        <v>5</v>
      </c>
      <c r="H20" s="14">
        <v>6</v>
      </c>
      <c r="I20" s="14">
        <v>4</v>
      </c>
      <c r="J20" s="16"/>
      <c r="K20" s="16"/>
      <c r="L20" s="16"/>
      <c r="M20" s="16"/>
      <c r="N20" s="16"/>
      <c r="O20" s="16"/>
    </row>
    <row r="21" spans="1:16" ht="15.6" x14ac:dyDescent="0.3">
      <c r="A21" s="9">
        <v>3</v>
      </c>
      <c r="B21" s="14" t="str">
        <f>'VLD(x,y,z)2022'!O28</f>
        <v>NVS</v>
      </c>
      <c r="C21" s="14" t="str">
        <f>'VLD(x,y,z)2022'!O49</f>
        <v>NVS</v>
      </c>
      <c r="D21" s="14" t="str">
        <f>'VLD(x,y,z)2022'!O70</f>
        <v>NM</v>
      </c>
      <c r="E21" s="16"/>
      <c r="F21" s="9">
        <v>3</v>
      </c>
      <c r="G21" s="14">
        <v>5</v>
      </c>
      <c r="H21" s="14">
        <v>5</v>
      </c>
      <c r="I21" s="14">
        <v>3</v>
      </c>
      <c r="J21" s="16"/>
      <c r="K21" s="16"/>
      <c r="L21" s="16"/>
      <c r="M21" s="16"/>
      <c r="N21" s="16"/>
      <c r="O21" s="16"/>
    </row>
    <row r="22" spans="1:16" ht="15.6" x14ac:dyDescent="0.3">
      <c r="A22" s="9">
        <v>4</v>
      </c>
      <c r="B22" s="14" t="str">
        <f>'VLD(x,y,z)2022'!O29</f>
        <v>ZE</v>
      </c>
      <c r="C22" s="14" t="str">
        <f>'VLD(x,y,z)2022'!O50</f>
        <v>NM</v>
      </c>
      <c r="D22" s="14" t="str">
        <f>'VLD(x,y,z)2022'!O71</f>
        <v>NB</v>
      </c>
      <c r="E22" s="16"/>
      <c r="F22" s="9">
        <v>4</v>
      </c>
      <c r="G22" s="14">
        <v>6</v>
      </c>
      <c r="H22" s="14">
        <v>3</v>
      </c>
      <c r="I22" s="14">
        <v>2</v>
      </c>
      <c r="J22" s="16"/>
      <c r="K22" s="16"/>
      <c r="L22" s="16"/>
      <c r="M22" s="16"/>
      <c r="N22" s="16"/>
      <c r="O22" s="16"/>
    </row>
    <row r="23" spans="1:16" ht="15.6" x14ac:dyDescent="0.3">
      <c r="A23" s="9">
        <v>5</v>
      </c>
      <c r="B23" s="14" t="str">
        <f>'VLD(x,y,z)2022'!O30</f>
        <v>NM</v>
      </c>
      <c r="C23" s="14" t="str">
        <f>'VLD(x,y,z)2022'!O51</f>
        <v>NB</v>
      </c>
      <c r="D23" s="14" t="str">
        <f>'VLD(x,y,z)2022'!O72</f>
        <v>NM</v>
      </c>
      <c r="E23" s="16"/>
      <c r="F23" s="9">
        <v>5</v>
      </c>
      <c r="G23" s="14">
        <v>3</v>
      </c>
      <c r="H23" s="14">
        <v>2</v>
      </c>
      <c r="I23" s="14">
        <v>3</v>
      </c>
      <c r="J23" s="16"/>
      <c r="K23" s="16"/>
      <c r="L23" s="16"/>
      <c r="M23" s="16"/>
      <c r="N23" s="16"/>
      <c r="O23" s="16"/>
    </row>
    <row r="24" spans="1:16" ht="15.6" x14ac:dyDescent="0.3">
      <c r="A24" s="9">
        <v>6</v>
      </c>
      <c r="B24" s="14" t="str">
        <f>'VLD(x,y,z)2022'!O31</f>
        <v>NS</v>
      </c>
      <c r="C24" s="14" t="str">
        <f>'VLD(x,y,z)2022'!O52</f>
        <v>NM</v>
      </c>
      <c r="D24" s="14" t="str">
        <f>'VLD(x,y,z)2022'!O73</f>
        <v>NS</v>
      </c>
      <c r="E24" s="16"/>
      <c r="F24" s="9">
        <v>6</v>
      </c>
      <c r="G24" s="14">
        <v>4</v>
      </c>
      <c r="H24" s="14">
        <v>3</v>
      </c>
      <c r="I24" s="14">
        <v>4</v>
      </c>
      <c r="J24" s="16"/>
      <c r="K24" s="16"/>
      <c r="L24" s="16"/>
      <c r="M24" s="16"/>
      <c r="N24" s="16"/>
      <c r="O24" s="16"/>
    </row>
    <row r="25" spans="1:16" ht="15.6" x14ac:dyDescent="0.3">
      <c r="A25" s="9">
        <v>7</v>
      </c>
      <c r="B25" s="14" t="str">
        <f>'VLD(x,y,z)2022'!O32</f>
        <v>NS</v>
      </c>
      <c r="C25" s="14" t="str">
        <f>'VLD(x,y,z)2022'!O53</f>
        <v>NVS</v>
      </c>
      <c r="D25" s="14" t="str">
        <f>'VLD(x,y,z)2022'!O74</f>
        <v>NM</v>
      </c>
      <c r="E25" s="16"/>
      <c r="F25" s="9">
        <v>7</v>
      </c>
      <c r="G25" s="14">
        <v>4</v>
      </c>
      <c r="H25" s="14">
        <v>5</v>
      </c>
      <c r="I25" s="14">
        <v>3</v>
      </c>
      <c r="J25" s="16"/>
      <c r="K25" s="16"/>
      <c r="L25" s="16"/>
      <c r="M25" s="16"/>
      <c r="N25" s="16"/>
      <c r="O25" s="16"/>
    </row>
    <row r="26" spans="1:16" ht="15.6" x14ac:dyDescent="0.3">
      <c r="A26" s="9">
        <v>8</v>
      </c>
      <c r="B26" s="14" t="str">
        <f>'VLD(x,y,z)2022'!O33</f>
        <v>NS</v>
      </c>
      <c r="C26" s="14" t="str">
        <f>'VLD(x,y,z)2022'!O54</f>
        <v>NM</v>
      </c>
      <c r="D26" s="14" t="str">
        <f>'VLD(x,y,z)2022'!O75</f>
        <v>NVS</v>
      </c>
      <c r="F26" s="9">
        <v>8</v>
      </c>
      <c r="G26" s="14">
        <v>4</v>
      </c>
      <c r="H26" s="14">
        <v>3</v>
      </c>
      <c r="I26" s="14">
        <v>5</v>
      </c>
    </row>
    <row r="27" spans="1:16" ht="15.6" x14ac:dyDescent="0.3">
      <c r="A27" s="9">
        <v>9</v>
      </c>
      <c r="B27" s="14" t="str">
        <f>'VLD(x,y,z)2022'!O34</f>
        <v>NM</v>
      </c>
      <c r="C27" s="14" t="str">
        <f>'VLD(x,y,z)2022'!O55</f>
        <v>NS</v>
      </c>
      <c r="D27" s="14" t="str">
        <f>'VLD(x,y,z)2022'!O76</f>
        <v>NS</v>
      </c>
      <c r="F27" s="9">
        <v>9</v>
      </c>
      <c r="G27" s="14">
        <v>3</v>
      </c>
      <c r="H27" s="14">
        <v>4</v>
      </c>
      <c r="I27" s="14">
        <v>4</v>
      </c>
    </row>
    <row r="28" spans="1:16" ht="15.6" x14ac:dyDescent="0.3">
      <c r="A28" s="9">
        <v>10</v>
      </c>
      <c r="B28" s="14" t="str">
        <f>'VLD(x,y,z)2022'!O35</f>
        <v>ZE</v>
      </c>
      <c r="C28" s="14" t="str">
        <f>'VLD(x,y,z)2022'!O56</f>
        <v>NS</v>
      </c>
      <c r="D28" s="14" t="str">
        <f>'VLD(x,y,z)2022'!O77</f>
        <v>NS</v>
      </c>
      <c r="F28" s="9">
        <v>10</v>
      </c>
      <c r="G28" s="14">
        <v>6</v>
      </c>
      <c r="H28" s="14">
        <v>4</v>
      </c>
      <c r="I28" s="14">
        <v>4</v>
      </c>
    </row>
    <row r="29" spans="1:16" ht="15.6" x14ac:dyDescent="0.3">
      <c r="A29" s="9">
        <v>11</v>
      </c>
      <c r="B29" s="14" t="str">
        <f>'VLD(x,y,z)2022'!O36</f>
        <v>NVB</v>
      </c>
      <c r="C29" s="14" t="str">
        <f>'VLD(x,y,z)2022'!O57</f>
        <v>NS</v>
      </c>
      <c r="D29" s="14" t="str">
        <f>'VLD(x,y,z)2022'!O78</f>
        <v>NVS</v>
      </c>
      <c r="E29" s="27"/>
      <c r="F29" s="9">
        <v>11</v>
      </c>
      <c r="G29" s="14">
        <v>1</v>
      </c>
      <c r="H29" s="14">
        <v>4</v>
      </c>
      <c r="I29" s="14">
        <v>5</v>
      </c>
    </row>
    <row r="30" spans="1:16" ht="15.6" x14ac:dyDescent="0.3">
      <c r="A30" s="9">
        <v>12</v>
      </c>
      <c r="B30" s="14" t="str">
        <f>'VLD(x,y,z)2022'!O37</f>
        <v>NS</v>
      </c>
      <c r="C30" s="14" t="str">
        <f>'VLD(x,y,z)2022'!O58</f>
        <v>PM</v>
      </c>
      <c r="D30" s="14" t="str">
        <f>'VLD(x,y,z)2022'!O79</f>
        <v>PVB</v>
      </c>
      <c r="F30" s="9">
        <v>12</v>
      </c>
      <c r="G30" s="14">
        <v>4</v>
      </c>
      <c r="H30" s="14">
        <v>9</v>
      </c>
      <c r="I30" s="14">
        <v>11</v>
      </c>
    </row>
    <row r="31" spans="1:16" ht="15.6" x14ac:dyDescent="0.3">
      <c r="A31" s="9">
        <v>13</v>
      </c>
      <c r="B31" s="14" t="str">
        <f>'VLD(x,y,z)2022'!O38</f>
        <v>PM</v>
      </c>
      <c r="C31" s="14" t="str">
        <f>'VLD(x,y,z)2022'!O59</f>
        <v>PVB</v>
      </c>
      <c r="D31" s="14" t="str">
        <f>'VLD(x,y,z)2022'!O80</f>
        <v>PM</v>
      </c>
      <c r="F31" s="9">
        <v>13</v>
      </c>
      <c r="G31" s="14">
        <v>9</v>
      </c>
      <c r="H31" s="14">
        <v>11</v>
      </c>
      <c r="I31" s="14">
        <v>9</v>
      </c>
    </row>
    <row r="32" spans="1:16" ht="15.6" x14ac:dyDescent="0.3">
      <c r="A32" s="9">
        <v>14</v>
      </c>
      <c r="B32" s="14" t="str">
        <f>'VLD(x,y,z)2022'!O39</f>
        <v>PS</v>
      </c>
      <c r="C32" s="14" t="str">
        <f>'VLD(x,y,z)2022'!O60</f>
        <v>PM</v>
      </c>
      <c r="D32" s="14" t="str">
        <f>'VLD(x,y,z)2022'!O81</f>
        <v>NS</v>
      </c>
      <c r="F32" s="9">
        <v>14</v>
      </c>
      <c r="G32" s="14">
        <v>8</v>
      </c>
      <c r="H32" s="14">
        <v>9</v>
      </c>
      <c r="I32" s="14">
        <v>4</v>
      </c>
    </row>
    <row r="33" spans="4:4" ht="15.6" x14ac:dyDescent="0.3">
      <c r="D33" s="26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P33"/>
  <sheetViews>
    <sheetView topLeftCell="A3" zoomScale="70" zoomScaleNormal="70" workbookViewId="0">
      <selection activeCell="B19" sqref="B19:D32"/>
    </sheetView>
  </sheetViews>
  <sheetFormatPr defaultRowHeight="14.4" x14ac:dyDescent="0.3"/>
  <cols>
    <col min="4" max="4" width="10.33203125" customWidth="1"/>
    <col min="11" max="11" width="11.109375" customWidth="1"/>
  </cols>
  <sheetData>
    <row r="2" spans="1:16" ht="15.6" x14ac:dyDescent="0.3">
      <c r="A2" s="29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15.6" x14ac:dyDescent="0.3">
      <c r="A3" s="16"/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/>
      <c r="N3" s="16"/>
      <c r="O3" s="16"/>
    </row>
    <row r="4" spans="1:16" ht="15.6" x14ac:dyDescent="0.3">
      <c r="A4" s="9" t="s">
        <v>30</v>
      </c>
      <c r="B4" s="9" t="s">
        <v>12</v>
      </c>
      <c r="C4" s="9" t="s">
        <v>13</v>
      </c>
      <c r="D4" s="9" t="s">
        <v>14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16"/>
      <c r="N4" s="26"/>
      <c r="O4" s="26"/>
      <c r="P4" s="26"/>
    </row>
    <row r="5" spans="1:16" ht="15.6" x14ac:dyDescent="0.3">
      <c r="A5" s="9" t="s">
        <v>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6"/>
      <c r="N5" s="26"/>
      <c r="O5" s="26"/>
      <c r="P5" s="26"/>
    </row>
    <row r="6" spans="1:16" ht="15.6" x14ac:dyDescent="0.3">
      <c r="A6" s="9" t="s">
        <v>13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26"/>
      <c r="O6" s="26"/>
      <c r="P6" s="26"/>
    </row>
    <row r="7" spans="1:16" ht="15.6" x14ac:dyDescent="0.3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6"/>
      <c r="N7" s="26"/>
      <c r="O7" s="26"/>
      <c r="P7" s="26"/>
    </row>
    <row r="8" spans="1:16" ht="15.6" x14ac:dyDescent="0.3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6"/>
      <c r="N8" s="26"/>
      <c r="O8" s="26"/>
      <c r="P8" s="26"/>
    </row>
    <row r="9" spans="1:16" ht="15.6" x14ac:dyDescent="0.3">
      <c r="A9" s="9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6"/>
      <c r="N9" s="26"/>
      <c r="O9" s="26"/>
      <c r="P9" s="26"/>
    </row>
    <row r="10" spans="1:16" ht="15.6" x14ac:dyDescent="0.3">
      <c r="A10" s="9" t="s">
        <v>18</v>
      </c>
      <c r="B10" s="9"/>
      <c r="C10" s="9"/>
      <c r="D10" s="9" t="s">
        <v>13</v>
      </c>
      <c r="E10" s="9"/>
      <c r="F10" s="9"/>
      <c r="G10" s="9"/>
      <c r="H10" s="9"/>
      <c r="I10" s="9"/>
      <c r="J10" s="9"/>
      <c r="K10" s="9"/>
      <c r="L10" s="9"/>
      <c r="M10" s="16"/>
      <c r="N10" s="26"/>
      <c r="O10" s="26"/>
      <c r="P10" s="26"/>
    </row>
    <row r="11" spans="1:16" ht="15.6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6"/>
      <c r="N11" s="26"/>
      <c r="O11" s="26"/>
      <c r="P11" s="26"/>
    </row>
    <row r="12" spans="1:16" ht="15.6" x14ac:dyDescent="0.3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6"/>
      <c r="N12" s="26"/>
      <c r="O12" s="26"/>
      <c r="P12" s="26"/>
    </row>
    <row r="13" spans="1:16" ht="15.6" x14ac:dyDescent="0.3">
      <c r="A13" s="9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6"/>
      <c r="N13" s="26"/>
      <c r="O13" s="26"/>
      <c r="P13" s="26"/>
    </row>
    <row r="14" spans="1:16" ht="15.6" x14ac:dyDescent="0.3">
      <c r="A14" s="9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6"/>
      <c r="N14" s="26"/>
      <c r="O14" s="26"/>
      <c r="P14" s="26"/>
    </row>
    <row r="15" spans="1:16" ht="15.6" x14ac:dyDescent="0.3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6"/>
      <c r="N15" s="26"/>
      <c r="O15" s="26"/>
      <c r="P15" s="26"/>
    </row>
    <row r="16" spans="1:16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6"/>
      <c r="O16" s="26"/>
      <c r="P16" s="26"/>
    </row>
    <row r="17" spans="1:16" ht="15.6" x14ac:dyDescent="0.3">
      <c r="A17" s="3" t="s">
        <v>31</v>
      </c>
      <c r="B17" s="107" t="s">
        <v>33</v>
      </c>
      <c r="C17" s="108"/>
      <c r="D17" s="2" t="s">
        <v>34</v>
      </c>
      <c r="E17" s="16"/>
      <c r="F17" s="3" t="s">
        <v>31</v>
      </c>
      <c r="G17" s="107" t="s">
        <v>33</v>
      </c>
      <c r="H17" s="108"/>
      <c r="I17" s="2" t="s">
        <v>34</v>
      </c>
      <c r="J17" s="16"/>
      <c r="K17" s="16"/>
      <c r="L17" s="16"/>
      <c r="M17" s="16"/>
      <c r="N17" s="26"/>
      <c r="O17" s="26"/>
      <c r="P17" s="26"/>
    </row>
    <row r="18" spans="1:16" ht="15.6" x14ac:dyDescent="0.3">
      <c r="A18" s="8" t="s">
        <v>32</v>
      </c>
      <c r="B18" s="23" t="s">
        <v>8</v>
      </c>
      <c r="C18" s="24" t="s">
        <v>9</v>
      </c>
      <c r="D18" s="9" t="s">
        <v>10</v>
      </c>
      <c r="E18" s="16"/>
      <c r="F18" s="8" t="s">
        <v>32</v>
      </c>
      <c r="G18" s="23" t="s">
        <v>8</v>
      </c>
      <c r="H18" s="24" t="s">
        <v>9</v>
      </c>
      <c r="I18" s="9" t="s">
        <v>10</v>
      </c>
      <c r="J18" s="16"/>
      <c r="K18" s="16"/>
      <c r="L18" s="16"/>
      <c r="M18" s="16"/>
      <c r="N18" s="16"/>
      <c r="O18" s="16"/>
    </row>
    <row r="19" spans="1:16" ht="15.6" x14ac:dyDescent="0.3">
      <c r="A19" s="9">
        <v>1</v>
      </c>
      <c r="B19" s="14" t="s">
        <v>18</v>
      </c>
      <c r="C19" s="14" t="s">
        <v>14</v>
      </c>
      <c r="D19" s="14" t="s">
        <v>13</v>
      </c>
      <c r="E19" s="16"/>
      <c r="F19" s="9">
        <v>1</v>
      </c>
      <c r="G19" s="14">
        <v>6</v>
      </c>
      <c r="H19" s="14">
        <v>3</v>
      </c>
      <c r="I19" s="14">
        <v>2</v>
      </c>
      <c r="J19" s="16"/>
      <c r="K19" s="16"/>
      <c r="L19" s="16"/>
      <c r="M19" s="16"/>
      <c r="N19" s="16"/>
      <c r="O19" s="16"/>
    </row>
    <row r="20" spans="1:16" ht="15.6" x14ac:dyDescent="0.3">
      <c r="A20" s="9">
        <v>2</v>
      </c>
      <c r="B20" s="14" t="s">
        <v>16</v>
      </c>
      <c r="C20" s="14" t="s">
        <v>13</v>
      </c>
      <c r="D20" s="14" t="s">
        <v>14</v>
      </c>
      <c r="E20" s="16"/>
      <c r="F20" s="9">
        <v>2</v>
      </c>
      <c r="G20" s="14">
        <v>4</v>
      </c>
      <c r="H20" s="14">
        <v>2</v>
      </c>
      <c r="I20" s="14">
        <v>3</v>
      </c>
      <c r="J20" s="16"/>
      <c r="K20" s="16"/>
      <c r="L20" s="16"/>
      <c r="M20" s="16"/>
      <c r="N20" s="16"/>
      <c r="O20" s="16"/>
    </row>
    <row r="21" spans="1:16" ht="15.6" x14ac:dyDescent="0.3">
      <c r="A21" s="9">
        <v>3</v>
      </c>
      <c r="B21" s="14" t="s">
        <v>14</v>
      </c>
      <c r="C21" s="14" t="s">
        <v>17</v>
      </c>
      <c r="D21" s="14" t="s">
        <v>12</v>
      </c>
      <c r="E21" s="16"/>
      <c r="F21" s="9">
        <v>3</v>
      </c>
      <c r="G21" s="14">
        <v>3</v>
      </c>
      <c r="H21" s="14">
        <v>5</v>
      </c>
      <c r="I21" s="14">
        <v>1</v>
      </c>
      <c r="J21" s="16"/>
      <c r="K21" s="16"/>
      <c r="L21" s="16"/>
      <c r="M21" s="16"/>
      <c r="N21" s="16"/>
      <c r="O21" s="16"/>
    </row>
    <row r="22" spans="1:16" ht="15.6" x14ac:dyDescent="0.3">
      <c r="A22" s="9">
        <v>4</v>
      </c>
      <c r="B22" s="14" t="s">
        <v>13</v>
      </c>
      <c r="C22" s="14" t="s">
        <v>12</v>
      </c>
      <c r="D22" s="14" t="s">
        <v>14</v>
      </c>
      <c r="E22" s="16"/>
      <c r="F22" s="9">
        <v>4</v>
      </c>
      <c r="G22" s="14">
        <v>2</v>
      </c>
      <c r="H22" s="14">
        <v>1</v>
      </c>
      <c r="I22" s="14">
        <v>3</v>
      </c>
      <c r="J22" s="16"/>
      <c r="K22" s="16"/>
      <c r="L22" s="16"/>
      <c r="M22" s="16"/>
      <c r="N22" s="16"/>
      <c r="O22" s="16"/>
    </row>
    <row r="23" spans="1:16" ht="15.6" x14ac:dyDescent="0.3">
      <c r="A23" s="9">
        <v>5</v>
      </c>
      <c r="B23" s="14" t="s">
        <v>14</v>
      </c>
      <c r="C23" s="14" t="s">
        <v>14</v>
      </c>
      <c r="D23" s="14" t="s">
        <v>13</v>
      </c>
      <c r="E23" s="16"/>
      <c r="F23" s="9">
        <v>5</v>
      </c>
      <c r="G23" s="14">
        <v>3</v>
      </c>
      <c r="H23" s="14">
        <v>3</v>
      </c>
      <c r="I23" s="14">
        <v>2</v>
      </c>
      <c r="J23" s="16"/>
      <c r="K23" s="16"/>
      <c r="L23" s="16"/>
      <c r="M23" s="16"/>
      <c r="N23" s="16"/>
      <c r="O23" s="16"/>
    </row>
    <row r="24" spans="1:16" ht="15.6" x14ac:dyDescent="0.3">
      <c r="A24" s="9">
        <v>6</v>
      </c>
      <c r="B24" s="14" t="s">
        <v>14</v>
      </c>
      <c r="C24" s="14" t="s">
        <v>13</v>
      </c>
      <c r="D24" s="14" t="s">
        <v>17</v>
      </c>
      <c r="E24" s="16"/>
      <c r="F24" s="9">
        <v>6</v>
      </c>
      <c r="G24" s="14">
        <v>3</v>
      </c>
      <c r="H24" s="14">
        <v>2</v>
      </c>
      <c r="I24" s="14">
        <v>5</v>
      </c>
      <c r="J24" s="16"/>
      <c r="K24" s="16"/>
      <c r="L24" s="16"/>
      <c r="M24" s="16"/>
      <c r="N24" s="16"/>
      <c r="O24" s="16"/>
    </row>
    <row r="25" spans="1:16" ht="15.6" x14ac:dyDescent="0.3">
      <c r="A25" s="9">
        <v>7</v>
      </c>
      <c r="B25" s="14" t="s">
        <v>14</v>
      </c>
      <c r="C25" s="14" t="s">
        <v>17</v>
      </c>
      <c r="D25" s="14" t="s">
        <v>12</v>
      </c>
      <c r="E25" s="16"/>
      <c r="F25" s="9">
        <v>7</v>
      </c>
      <c r="G25" s="14">
        <v>3</v>
      </c>
      <c r="H25" s="14">
        <v>5</v>
      </c>
      <c r="I25" s="14">
        <v>1</v>
      </c>
      <c r="J25" s="16"/>
      <c r="K25" s="16"/>
      <c r="L25" s="16"/>
      <c r="M25" s="16"/>
      <c r="N25" s="16"/>
      <c r="O25" s="16"/>
    </row>
    <row r="26" spans="1:16" ht="15.6" x14ac:dyDescent="0.3">
      <c r="A26" s="9">
        <v>8</v>
      </c>
      <c r="B26" s="14" t="s">
        <v>17</v>
      </c>
      <c r="C26" s="14" t="s">
        <v>12</v>
      </c>
      <c r="D26" s="14" t="s">
        <v>17</v>
      </c>
      <c r="F26" s="9">
        <v>8</v>
      </c>
      <c r="G26" s="14">
        <v>5</v>
      </c>
      <c r="H26" s="14">
        <v>1</v>
      </c>
      <c r="I26" s="14">
        <v>5</v>
      </c>
    </row>
    <row r="27" spans="1:16" ht="15.6" x14ac:dyDescent="0.3">
      <c r="A27" s="9">
        <v>9</v>
      </c>
      <c r="B27" s="14" t="s">
        <v>16</v>
      </c>
      <c r="C27" s="14" t="s">
        <v>16</v>
      </c>
      <c r="D27" s="14" t="s">
        <v>14</v>
      </c>
      <c r="F27" s="9">
        <v>9</v>
      </c>
      <c r="G27" s="14">
        <v>4</v>
      </c>
      <c r="H27" s="14">
        <v>4</v>
      </c>
      <c r="I27" s="14">
        <v>3</v>
      </c>
    </row>
    <row r="28" spans="1:16" ht="15.6" x14ac:dyDescent="0.3">
      <c r="A28" s="9">
        <v>10</v>
      </c>
      <c r="B28" s="14" t="s">
        <v>16</v>
      </c>
      <c r="C28" s="14" t="s">
        <v>14</v>
      </c>
      <c r="D28" s="14" t="s">
        <v>16</v>
      </c>
      <c r="F28" s="9">
        <v>10</v>
      </c>
      <c r="G28" s="14">
        <v>4</v>
      </c>
      <c r="H28" s="14">
        <v>3</v>
      </c>
      <c r="I28" s="14">
        <v>4</v>
      </c>
    </row>
    <row r="29" spans="1:16" ht="15.6" x14ac:dyDescent="0.3">
      <c r="A29" s="9">
        <v>11</v>
      </c>
      <c r="B29" s="14" t="s">
        <v>17</v>
      </c>
      <c r="C29" s="14" t="s">
        <v>16</v>
      </c>
      <c r="D29" s="14" t="s">
        <v>13</v>
      </c>
      <c r="E29" s="27"/>
      <c r="F29" s="9">
        <v>11</v>
      </c>
      <c r="G29" s="14">
        <v>5</v>
      </c>
      <c r="H29" s="14">
        <v>4</v>
      </c>
      <c r="I29" s="14">
        <v>2</v>
      </c>
    </row>
    <row r="30" spans="1:16" ht="15.6" x14ac:dyDescent="0.3">
      <c r="A30" s="9">
        <v>12</v>
      </c>
      <c r="B30" s="14" t="s">
        <v>23</v>
      </c>
      <c r="C30" s="14" t="s">
        <v>13</v>
      </c>
      <c r="D30" s="14" t="s">
        <v>14</v>
      </c>
      <c r="F30" s="9">
        <v>12</v>
      </c>
      <c r="G30" s="14">
        <v>11</v>
      </c>
      <c r="H30" s="14">
        <v>2</v>
      </c>
      <c r="I30" s="14">
        <v>3</v>
      </c>
    </row>
    <row r="31" spans="1:16" ht="15.6" x14ac:dyDescent="0.3">
      <c r="A31" s="9">
        <v>13</v>
      </c>
      <c r="B31" s="14" t="s">
        <v>21</v>
      </c>
      <c r="C31" s="14" t="s">
        <v>14</v>
      </c>
      <c r="D31" s="14" t="s">
        <v>13</v>
      </c>
      <c r="F31" s="9">
        <v>13</v>
      </c>
      <c r="G31" s="14">
        <v>9</v>
      </c>
      <c r="H31" s="14">
        <v>3</v>
      </c>
      <c r="I31" s="14">
        <v>2</v>
      </c>
    </row>
    <row r="32" spans="1:16" ht="15.6" x14ac:dyDescent="0.3">
      <c r="A32" s="9">
        <v>14</v>
      </c>
      <c r="B32" s="14" t="s">
        <v>16</v>
      </c>
      <c r="C32" s="14" t="s">
        <v>13</v>
      </c>
      <c r="D32" s="14" t="s">
        <v>12</v>
      </c>
      <c r="F32" s="9">
        <v>14</v>
      </c>
      <c r="G32" s="14">
        <v>4</v>
      </c>
      <c r="H32" s="14">
        <v>2</v>
      </c>
      <c r="I32" s="14">
        <v>1</v>
      </c>
    </row>
    <row r="33" spans="4:4" ht="15.6" x14ac:dyDescent="0.3">
      <c r="D33" s="26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P33"/>
  <sheetViews>
    <sheetView zoomScale="70" zoomScaleNormal="70" workbookViewId="0">
      <selection activeCell="Q25" sqref="Q25"/>
    </sheetView>
  </sheetViews>
  <sheetFormatPr defaultRowHeight="14.4" x14ac:dyDescent="0.3"/>
  <cols>
    <col min="4" max="4" width="16.44140625" customWidth="1"/>
    <col min="11" max="11" width="11.109375" customWidth="1"/>
  </cols>
  <sheetData>
    <row r="2" spans="1:16" ht="15.6" x14ac:dyDescent="0.3">
      <c r="A2" s="29" t="s">
        <v>56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6" ht="15.6" x14ac:dyDescent="0.3">
      <c r="A3" s="16"/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/>
      <c r="N3" s="16"/>
      <c r="O3" s="16"/>
    </row>
    <row r="4" spans="1:16" ht="15.6" x14ac:dyDescent="0.3">
      <c r="A4" s="9" t="s">
        <v>30</v>
      </c>
      <c r="B4" s="9" t="s">
        <v>12</v>
      </c>
      <c r="C4" s="9" t="s">
        <v>13</v>
      </c>
      <c r="D4" s="9" t="s">
        <v>14</v>
      </c>
      <c r="E4" s="9" t="s">
        <v>16</v>
      </c>
      <c r="F4" s="9" t="s">
        <v>17</v>
      </c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  <c r="M4" s="16"/>
      <c r="N4" s="26"/>
      <c r="O4" s="26"/>
      <c r="P4" s="26"/>
    </row>
    <row r="5" spans="1:16" ht="15.6" x14ac:dyDescent="0.3">
      <c r="A5" s="9" t="s">
        <v>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6"/>
      <c r="N5" s="26"/>
      <c r="O5" s="26"/>
      <c r="P5" s="26"/>
    </row>
    <row r="6" spans="1:16" ht="15.6" x14ac:dyDescent="0.3">
      <c r="A6" s="9" t="s">
        <v>13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6"/>
      <c r="N6" s="26"/>
      <c r="O6" s="26"/>
      <c r="P6" s="26"/>
    </row>
    <row r="7" spans="1:16" ht="15.6" x14ac:dyDescent="0.3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6"/>
      <c r="N7" s="26"/>
      <c r="O7" s="26"/>
      <c r="P7" s="26"/>
    </row>
    <row r="8" spans="1:16" ht="15.6" x14ac:dyDescent="0.3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6"/>
      <c r="N8" s="26"/>
      <c r="O8" s="26"/>
      <c r="P8" s="26"/>
    </row>
    <row r="9" spans="1:16" ht="15.6" x14ac:dyDescent="0.3">
      <c r="A9" s="9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6"/>
      <c r="N9" s="26"/>
      <c r="O9" s="26"/>
      <c r="P9" s="26"/>
    </row>
    <row r="10" spans="1:16" ht="15.6" x14ac:dyDescent="0.3">
      <c r="A10" s="9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6"/>
      <c r="N10" s="26"/>
      <c r="O10" s="26"/>
      <c r="P10" s="26"/>
    </row>
    <row r="11" spans="1:16" ht="15.6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6"/>
      <c r="N11" s="26"/>
      <c r="O11" s="26"/>
      <c r="P11" s="26"/>
    </row>
    <row r="12" spans="1:16" ht="15.6" x14ac:dyDescent="0.3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6"/>
      <c r="N12" s="26"/>
      <c r="O12" s="26"/>
      <c r="P12" s="26"/>
    </row>
    <row r="13" spans="1:16" ht="15.6" x14ac:dyDescent="0.3">
      <c r="A13" s="9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6"/>
      <c r="N13" s="26"/>
      <c r="O13" s="26"/>
      <c r="P13" s="26"/>
    </row>
    <row r="14" spans="1:16" ht="15.6" x14ac:dyDescent="0.3">
      <c r="A14" s="9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6"/>
      <c r="N14" s="26"/>
      <c r="O14" s="26"/>
      <c r="P14" s="26"/>
    </row>
    <row r="15" spans="1:16" ht="15.6" x14ac:dyDescent="0.3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6"/>
      <c r="N15" s="26"/>
      <c r="O15" s="26"/>
      <c r="P15" s="26"/>
    </row>
    <row r="16" spans="1:16" ht="15.6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6"/>
      <c r="O16" s="26"/>
      <c r="P16" s="26"/>
    </row>
    <row r="17" spans="1:16" ht="15.6" x14ac:dyDescent="0.3">
      <c r="A17" s="3" t="s">
        <v>31</v>
      </c>
      <c r="B17" s="107" t="s">
        <v>33</v>
      </c>
      <c r="C17" s="108"/>
      <c r="D17" s="2" t="s">
        <v>34</v>
      </c>
      <c r="E17" s="16"/>
      <c r="F17" s="3" t="s">
        <v>31</v>
      </c>
      <c r="G17" s="107" t="s">
        <v>33</v>
      </c>
      <c r="H17" s="108"/>
      <c r="I17" s="2" t="s">
        <v>34</v>
      </c>
      <c r="J17" s="16"/>
      <c r="K17" s="16"/>
      <c r="L17" s="16"/>
      <c r="M17" s="16"/>
      <c r="N17" s="26"/>
      <c r="O17" s="26"/>
      <c r="P17" s="26"/>
    </row>
    <row r="18" spans="1:16" ht="15.6" x14ac:dyDescent="0.3">
      <c r="A18" s="8" t="s">
        <v>32</v>
      </c>
      <c r="B18" s="23" t="s">
        <v>8</v>
      </c>
      <c r="C18" s="24" t="s">
        <v>9</v>
      </c>
      <c r="D18" s="9" t="s">
        <v>10</v>
      </c>
      <c r="E18" s="16"/>
      <c r="F18" s="8" t="s">
        <v>32</v>
      </c>
      <c r="G18" s="23" t="s">
        <v>8</v>
      </c>
      <c r="H18" s="24" t="s">
        <v>9</v>
      </c>
      <c r="I18" s="9" t="s">
        <v>10</v>
      </c>
      <c r="J18" s="16"/>
      <c r="K18" s="16"/>
      <c r="L18" s="16"/>
      <c r="M18" s="16"/>
      <c r="N18" s="16"/>
      <c r="O18" s="16"/>
    </row>
    <row r="19" spans="1:16" ht="15.6" x14ac:dyDescent="0.3">
      <c r="A19" s="9">
        <v>1</v>
      </c>
      <c r="B19" s="14" t="s">
        <v>13</v>
      </c>
      <c r="C19" s="14" t="s">
        <v>17</v>
      </c>
      <c r="D19" s="14" t="s">
        <v>14</v>
      </c>
      <c r="E19" s="16"/>
      <c r="F19" s="9">
        <v>1</v>
      </c>
      <c r="G19" s="14">
        <v>2</v>
      </c>
      <c r="H19" s="14">
        <v>5</v>
      </c>
      <c r="I19" s="14">
        <v>3</v>
      </c>
      <c r="J19" s="16"/>
      <c r="K19" s="16"/>
      <c r="L19" s="16"/>
      <c r="M19" s="16"/>
      <c r="N19" s="16"/>
      <c r="O19" s="16"/>
    </row>
    <row r="20" spans="1:16" ht="15.6" x14ac:dyDescent="0.3">
      <c r="A20" s="9">
        <v>2</v>
      </c>
      <c r="B20" s="14" t="s">
        <v>14</v>
      </c>
      <c r="C20" s="14" t="s">
        <v>14</v>
      </c>
      <c r="D20" s="14" t="s">
        <v>17</v>
      </c>
      <c r="E20" s="16"/>
      <c r="F20" s="9">
        <v>2</v>
      </c>
      <c r="G20" s="14">
        <v>3</v>
      </c>
      <c r="H20" s="14">
        <v>3</v>
      </c>
      <c r="I20" s="14">
        <v>5</v>
      </c>
      <c r="J20" s="16"/>
      <c r="K20" s="16"/>
      <c r="L20" s="16"/>
      <c r="M20" s="16"/>
      <c r="N20" s="16"/>
      <c r="O20" s="16"/>
    </row>
    <row r="21" spans="1:16" ht="15.6" x14ac:dyDescent="0.3">
      <c r="A21" s="9">
        <v>3</v>
      </c>
      <c r="B21" s="14" t="s">
        <v>12</v>
      </c>
      <c r="C21" s="14" t="s">
        <v>16</v>
      </c>
      <c r="D21" s="14" t="s">
        <v>14</v>
      </c>
      <c r="E21" s="16"/>
      <c r="F21" s="9">
        <v>3</v>
      </c>
      <c r="G21" s="14">
        <v>1</v>
      </c>
      <c r="H21" s="14">
        <v>4</v>
      </c>
      <c r="I21" s="14">
        <v>3</v>
      </c>
      <c r="J21" s="16"/>
      <c r="K21" s="16"/>
      <c r="L21" s="16"/>
      <c r="M21" s="16"/>
      <c r="N21" s="16"/>
      <c r="O21" s="16"/>
    </row>
    <row r="22" spans="1:16" ht="15.6" x14ac:dyDescent="0.3">
      <c r="A22" s="9">
        <v>4</v>
      </c>
      <c r="B22" s="14" t="s">
        <v>14</v>
      </c>
      <c r="C22" s="14" t="s">
        <v>14</v>
      </c>
      <c r="D22" s="14" t="s">
        <v>17</v>
      </c>
      <c r="E22" s="16"/>
      <c r="F22" s="9">
        <v>4</v>
      </c>
      <c r="G22" s="14">
        <v>3</v>
      </c>
      <c r="H22" s="14">
        <v>3</v>
      </c>
      <c r="I22" s="14">
        <v>5</v>
      </c>
      <c r="J22" s="16"/>
      <c r="K22" s="16"/>
      <c r="L22" s="16"/>
      <c r="M22" s="16"/>
      <c r="N22" s="16"/>
      <c r="O22" s="16"/>
    </row>
    <row r="23" spans="1:16" ht="15.6" x14ac:dyDescent="0.3">
      <c r="A23" s="9">
        <v>5</v>
      </c>
      <c r="B23" s="14" t="s">
        <v>13</v>
      </c>
      <c r="C23" s="14" t="s">
        <v>17</v>
      </c>
      <c r="D23" s="14" t="s">
        <v>17</v>
      </c>
      <c r="E23" s="16"/>
      <c r="F23" s="9">
        <v>5</v>
      </c>
      <c r="G23" s="14">
        <v>2</v>
      </c>
      <c r="H23" s="14">
        <v>5</v>
      </c>
      <c r="I23" s="14">
        <v>5</v>
      </c>
      <c r="J23" s="16"/>
      <c r="K23" s="16"/>
      <c r="L23" s="16"/>
      <c r="M23" s="16"/>
      <c r="N23" s="16"/>
      <c r="O23" s="16"/>
    </row>
    <row r="24" spans="1:16" ht="15.6" x14ac:dyDescent="0.3">
      <c r="A24" s="9">
        <v>6</v>
      </c>
      <c r="B24" s="14" t="s">
        <v>17</v>
      </c>
      <c r="C24" s="14" t="s">
        <v>17</v>
      </c>
      <c r="D24" s="14" t="s">
        <v>13</v>
      </c>
      <c r="E24" s="16"/>
      <c r="F24" s="9">
        <v>6</v>
      </c>
      <c r="G24" s="14">
        <v>5</v>
      </c>
      <c r="H24" s="14">
        <v>5</v>
      </c>
      <c r="I24" s="14">
        <v>2</v>
      </c>
      <c r="J24" s="16"/>
      <c r="K24" s="16"/>
      <c r="L24" s="16"/>
      <c r="M24" s="16"/>
      <c r="N24" s="16"/>
      <c r="O24" s="16"/>
    </row>
    <row r="25" spans="1:16" ht="15.6" x14ac:dyDescent="0.3">
      <c r="A25" s="9">
        <v>7</v>
      </c>
      <c r="B25" s="14" t="s">
        <v>12</v>
      </c>
      <c r="C25" s="14" t="s">
        <v>13</v>
      </c>
      <c r="D25" s="14" t="s">
        <v>13</v>
      </c>
      <c r="E25" s="16"/>
      <c r="F25" s="9">
        <v>7</v>
      </c>
      <c r="G25" s="14">
        <v>1</v>
      </c>
      <c r="H25" s="14">
        <v>2</v>
      </c>
      <c r="I25" s="14">
        <v>2</v>
      </c>
      <c r="J25" s="16"/>
      <c r="K25" s="16"/>
      <c r="L25" s="16"/>
      <c r="M25" s="16"/>
      <c r="N25" s="16"/>
      <c r="O25" s="16"/>
    </row>
    <row r="26" spans="1:16" ht="15.6" x14ac:dyDescent="0.3">
      <c r="A26" s="9">
        <v>8</v>
      </c>
      <c r="B26" s="14" t="s">
        <v>17</v>
      </c>
      <c r="C26" s="14" t="s">
        <v>13</v>
      </c>
      <c r="D26" s="14" t="s">
        <v>16</v>
      </c>
      <c r="F26" s="9">
        <v>8</v>
      </c>
      <c r="G26" s="14">
        <v>5</v>
      </c>
      <c r="H26" s="14">
        <v>2</v>
      </c>
      <c r="I26" s="14">
        <v>4</v>
      </c>
    </row>
    <row r="27" spans="1:16" ht="15.6" x14ac:dyDescent="0.3">
      <c r="A27" s="9">
        <v>9</v>
      </c>
      <c r="B27" s="14" t="s">
        <v>14</v>
      </c>
      <c r="C27" s="14" t="s">
        <v>17</v>
      </c>
      <c r="D27" s="14" t="s">
        <v>14</v>
      </c>
      <c r="F27" s="9">
        <v>9</v>
      </c>
      <c r="G27" s="14">
        <v>3</v>
      </c>
      <c r="H27" s="14">
        <v>5</v>
      </c>
      <c r="I27" s="14">
        <v>3</v>
      </c>
    </row>
    <row r="28" spans="1:16" ht="15.6" x14ac:dyDescent="0.3">
      <c r="A28" s="9">
        <v>10</v>
      </c>
      <c r="B28" s="14" t="s">
        <v>16</v>
      </c>
      <c r="C28" s="14" t="s">
        <v>14</v>
      </c>
      <c r="D28" s="14" t="s">
        <v>17</v>
      </c>
      <c r="F28" s="9">
        <v>10</v>
      </c>
      <c r="G28" s="14">
        <v>4</v>
      </c>
      <c r="H28" s="14">
        <v>3</v>
      </c>
      <c r="I28" s="14">
        <v>5</v>
      </c>
    </row>
    <row r="29" spans="1:16" ht="15.6" x14ac:dyDescent="0.3">
      <c r="A29" s="9">
        <v>11</v>
      </c>
      <c r="B29" s="14" t="s">
        <v>13</v>
      </c>
      <c r="C29" s="14" t="s">
        <v>17</v>
      </c>
      <c r="D29" s="14" t="s">
        <v>17</v>
      </c>
      <c r="E29" s="27"/>
      <c r="F29" s="9">
        <v>11</v>
      </c>
      <c r="G29" s="14">
        <v>2</v>
      </c>
      <c r="H29" s="14">
        <v>5</v>
      </c>
      <c r="I29" s="14">
        <v>5</v>
      </c>
    </row>
    <row r="30" spans="1:16" ht="15.6" x14ac:dyDescent="0.3">
      <c r="A30" s="9">
        <v>12</v>
      </c>
      <c r="B30" s="14" t="s">
        <v>14</v>
      </c>
      <c r="C30" s="14" t="s">
        <v>17</v>
      </c>
      <c r="D30" s="14" t="s">
        <v>13</v>
      </c>
      <c r="F30" s="9">
        <v>12</v>
      </c>
      <c r="G30" s="14">
        <v>3</v>
      </c>
      <c r="H30" s="14">
        <v>5</v>
      </c>
      <c r="I30" s="14">
        <v>2</v>
      </c>
    </row>
    <row r="31" spans="1:16" ht="15.6" x14ac:dyDescent="0.3">
      <c r="A31" s="9">
        <v>13</v>
      </c>
      <c r="B31" s="14" t="s">
        <v>13</v>
      </c>
      <c r="C31" s="14" t="s">
        <v>13</v>
      </c>
      <c r="D31" s="14" t="s">
        <v>17</v>
      </c>
      <c r="F31" s="9">
        <v>13</v>
      </c>
      <c r="G31" s="14">
        <v>2</v>
      </c>
      <c r="H31" s="14">
        <v>2</v>
      </c>
      <c r="I31" s="14">
        <v>5</v>
      </c>
    </row>
    <row r="32" spans="1:16" ht="15.6" x14ac:dyDescent="0.3">
      <c r="A32" s="9">
        <v>14</v>
      </c>
      <c r="B32" s="14" t="s">
        <v>12</v>
      </c>
      <c r="C32" s="14" t="s">
        <v>17</v>
      </c>
      <c r="D32" s="14" t="s">
        <v>17</v>
      </c>
      <c r="F32" s="9">
        <v>14</v>
      </c>
      <c r="G32" s="14">
        <v>1</v>
      </c>
      <c r="H32" s="14">
        <v>5</v>
      </c>
      <c r="I32" s="14">
        <v>5</v>
      </c>
    </row>
    <row r="33" spans="4:4" ht="15.6" x14ac:dyDescent="0.3">
      <c r="D33" s="26"/>
    </row>
  </sheetData>
  <mergeCells count="2">
    <mergeCell ref="B17:C17"/>
    <mergeCell ref="G17:H17"/>
  </mergeCells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32"/>
  <sheetViews>
    <sheetView workbookViewId="0">
      <selection activeCell="C14" sqref="C14"/>
    </sheetView>
  </sheetViews>
  <sheetFormatPr defaultRowHeight="14.4" x14ac:dyDescent="0.3"/>
  <cols>
    <col min="1" max="1" width="8.33203125" customWidth="1"/>
    <col min="2" max="2" width="17.33203125" customWidth="1"/>
    <col min="3" max="3" width="14.33203125" customWidth="1"/>
    <col min="4" max="4" width="16.44140625" customWidth="1"/>
    <col min="5" max="5" width="14" customWidth="1"/>
    <col min="6" max="6" width="15.88671875" customWidth="1"/>
  </cols>
  <sheetData>
    <row r="2" spans="1:6" x14ac:dyDescent="0.3">
      <c r="A2" s="39" t="s">
        <v>63</v>
      </c>
      <c r="B2" s="39">
        <v>2020</v>
      </c>
      <c r="C2" s="39">
        <v>2021</v>
      </c>
      <c r="D2" s="39">
        <v>2022</v>
      </c>
      <c r="E2" s="39">
        <v>2023</v>
      </c>
      <c r="F2" s="39">
        <v>2024</v>
      </c>
    </row>
    <row r="3" spans="1:6" ht="15.6" x14ac:dyDescent="0.3">
      <c r="A3" s="39">
        <v>1</v>
      </c>
      <c r="B3" s="17">
        <v>22567256.215999998</v>
      </c>
      <c r="C3" s="17">
        <v>23718257.920000002</v>
      </c>
      <c r="D3" s="17">
        <v>25726988.52</v>
      </c>
      <c r="E3" s="17">
        <v>21383235.272000007</v>
      </c>
      <c r="F3" s="17">
        <v>21383235.272000007</v>
      </c>
    </row>
    <row r="4" spans="1:6" ht="15.6" x14ac:dyDescent="0.3">
      <c r="A4" s="39">
        <v>2</v>
      </c>
      <c r="B4" s="17">
        <v>23420438.151999995</v>
      </c>
      <c r="C4" s="17">
        <v>23452361.048</v>
      </c>
      <c r="D4" s="17">
        <v>23595416.392000005</v>
      </c>
      <c r="E4" s="17">
        <v>23369011.471999992</v>
      </c>
      <c r="F4" s="17">
        <v>23369011.471999992</v>
      </c>
    </row>
    <row r="5" spans="1:6" ht="15.6" x14ac:dyDescent="0.3">
      <c r="A5" s="39">
        <v>3</v>
      </c>
      <c r="B5" s="17">
        <v>21625341.699999999</v>
      </c>
      <c r="C5" s="17">
        <v>22686861.579199996</v>
      </c>
      <c r="D5" s="17">
        <v>23221913.432000011</v>
      </c>
      <c r="E5" s="17">
        <v>20658324.559999991</v>
      </c>
      <c r="F5" s="17">
        <v>20658324.559999991</v>
      </c>
    </row>
    <row r="6" spans="1:6" ht="15.6" x14ac:dyDescent="0.3">
      <c r="A6" s="39">
        <v>4</v>
      </c>
      <c r="B6" s="17">
        <v>23812488.471999999</v>
      </c>
      <c r="C6" s="17">
        <v>24934535.199999996</v>
      </c>
      <c r="D6" s="17">
        <v>23994465.52</v>
      </c>
      <c r="E6" s="17">
        <v>23414288.264000002</v>
      </c>
      <c r="F6" s="17">
        <v>23414288.264000002</v>
      </c>
    </row>
    <row r="7" spans="1:6" ht="15.6" x14ac:dyDescent="0.3">
      <c r="A7" s="39">
        <v>5</v>
      </c>
      <c r="B7" s="17">
        <v>26978630.167999983</v>
      </c>
      <c r="C7" s="17">
        <v>27274019.976000007</v>
      </c>
      <c r="D7" s="17">
        <v>24348237.368000001</v>
      </c>
      <c r="E7" s="17">
        <v>23798220.599999998</v>
      </c>
      <c r="F7" s="17">
        <v>23798220.599999998</v>
      </c>
    </row>
    <row r="8" spans="1:6" ht="15.6" x14ac:dyDescent="0.3">
      <c r="A8" s="39">
        <v>6</v>
      </c>
      <c r="B8" s="17">
        <v>25901645.223999999</v>
      </c>
      <c r="C8" s="17">
        <v>24409353.584000006</v>
      </c>
      <c r="D8" s="17">
        <v>23370764.111999996</v>
      </c>
      <c r="E8" s="17">
        <v>25703679.503999997</v>
      </c>
      <c r="F8" s="17">
        <v>25703679.503999997</v>
      </c>
    </row>
    <row r="9" spans="1:6" ht="15.6" x14ac:dyDescent="0.3">
      <c r="A9" s="39">
        <v>7</v>
      </c>
      <c r="B9" s="17">
        <v>22949801.759999998</v>
      </c>
      <c r="C9" s="17">
        <v>23852582.799999997</v>
      </c>
      <c r="D9" s="17">
        <v>21973444.831999995</v>
      </c>
      <c r="E9" s="17">
        <v>18556039.552000005</v>
      </c>
      <c r="F9" s="17">
        <v>18556039.552000005</v>
      </c>
    </row>
    <row r="10" spans="1:6" ht="15.6" x14ac:dyDescent="0.3">
      <c r="A10" s="39">
        <v>8</v>
      </c>
      <c r="B10" s="17">
        <v>23457312.649999999</v>
      </c>
      <c r="C10" s="17">
        <v>23441135.967999995</v>
      </c>
      <c r="D10" s="17">
        <v>22778253.584000006</v>
      </c>
      <c r="E10" s="17">
        <v>20061147.615999997</v>
      </c>
      <c r="F10" s="17">
        <v>20061147.615999997</v>
      </c>
    </row>
    <row r="11" spans="1:6" ht="15.6" x14ac:dyDescent="0.3">
      <c r="A11" s="39">
        <v>9</v>
      </c>
      <c r="B11" s="17">
        <v>23007013.184</v>
      </c>
      <c r="C11" s="17">
        <v>22751771.327999998</v>
      </c>
      <c r="D11" s="17">
        <v>24624619.496000011</v>
      </c>
      <c r="E11" s="17">
        <v>22518592.687999986</v>
      </c>
      <c r="F11" s="17">
        <v>22518592.687999986</v>
      </c>
    </row>
    <row r="12" spans="1:6" ht="15.6" x14ac:dyDescent="0.3">
      <c r="A12" s="39">
        <v>10</v>
      </c>
      <c r="B12" s="17">
        <v>22742761.087999996</v>
      </c>
      <c r="C12" s="17">
        <v>23852582.799999997</v>
      </c>
      <c r="D12" s="17">
        <v>24654370.176000006</v>
      </c>
      <c r="E12" s="17">
        <v>25094944.103999987</v>
      </c>
      <c r="F12" s="17">
        <v>25094944.103999987</v>
      </c>
    </row>
    <row r="13" spans="1:6" ht="15.6" x14ac:dyDescent="0.3">
      <c r="A13" s="39">
        <v>11</v>
      </c>
      <c r="B13" s="17">
        <v>25456619.983999997</v>
      </c>
      <c r="C13" s="17">
        <v>22815692.079999991</v>
      </c>
      <c r="D13" s="17">
        <v>25043529.879999999</v>
      </c>
      <c r="E13" s="17">
        <v>23465166.680000011</v>
      </c>
      <c r="F13" s="17">
        <v>23465166.680000011</v>
      </c>
    </row>
    <row r="14" spans="1:6" ht="15.6" x14ac:dyDescent="0.3">
      <c r="A14" s="39">
        <v>12</v>
      </c>
      <c r="B14" s="17">
        <v>24601645.223999999</v>
      </c>
      <c r="C14" s="17">
        <v>23287769.416000001</v>
      </c>
      <c r="D14" s="17">
        <v>27298992.328000002</v>
      </c>
      <c r="E14" s="17">
        <v>23458005.864</v>
      </c>
      <c r="F14" s="17">
        <v>23458005.864</v>
      </c>
    </row>
    <row r="15" spans="1:6" ht="15.6" x14ac:dyDescent="0.3">
      <c r="A15" s="39">
        <v>13</v>
      </c>
      <c r="B15" s="17">
        <v>23110877.312000003</v>
      </c>
      <c r="C15" s="17">
        <v>22254695.648000006</v>
      </c>
      <c r="D15" s="17">
        <v>25825940.600000001</v>
      </c>
      <c r="E15" s="17">
        <v>20598511.239999998</v>
      </c>
      <c r="F15" s="17">
        <v>20598511.239999998</v>
      </c>
    </row>
    <row r="16" spans="1:6" ht="15.6" x14ac:dyDescent="0.3">
      <c r="A16" s="39">
        <v>14</v>
      </c>
      <c r="B16" s="17">
        <v>22035483.85600001</v>
      </c>
      <c r="C16" s="17">
        <v>23862345.607999995</v>
      </c>
      <c r="D16" s="17">
        <v>23610307.936000004</v>
      </c>
      <c r="E16" s="17">
        <v>23319885.640000015</v>
      </c>
      <c r="F16" s="17">
        <v>23319885.640000015</v>
      </c>
    </row>
    <row r="20" spans="1:4" ht="15" thickBot="1" x14ac:dyDescent="0.35"/>
    <row r="21" spans="1:4" ht="27" thickBot="1" x14ac:dyDescent="0.35">
      <c r="A21" s="41" t="s">
        <v>65</v>
      </c>
      <c r="B21" s="42" t="s">
        <v>66</v>
      </c>
      <c r="C21" s="42" t="s">
        <v>67</v>
      </c>
      <c r="D21" s="43" t="s">
        <v>68</v>
      </c>
    </row>
    <row r="22" spans="1:4" ht="27" thickBot="1" x14ac:dyDescent="0.35">
      <c r="A22" s="44" t="s">
        <v>69</v>
      </c>
      <c r="B22" s="45" t="s">
        <v>70</v>
      </c>
      <c r="C22" s="45" t="s">
        <v>71</v>
      </c>
      <c r="D22" s="45" t="s">
        <v>72</v>
      </c>
    </row>
    <row r="23" spans="1:4" ht="27" thickBot="1" x14ac:dyDescent="0.35">
      <c r="A23" s="44" t="s">
        <v>73</v>
      </c>
      <c r="B23" s="45" t="s">
        <v>74</v>
      </c>
      <c r="C23" s="45" t="s">
        <v>75</v>
      </c>
      <c r="D23" s="46" t="s">
        <v>76</v>
      </c>
    </row>
    <row r="24" spans="1:4" ht="27" thickBot="1" x14ac:dyDescent="0.35">
      <c r="A24" s="44" t="s">
        <v>77</v>
      </c>
      <c r="B24" s="45" t="s">
        <v>78</v>
      </c>
      <c r="C24" s="45" t="s">
        <v>79</v>
      </c>
      <c r="D24" s="45" t="s">
        <v>80</v>
      </c>
    </row>
    <row r="25" spans="1:4" ht="40.200000000000003" thickBot="1" x14ac:dyDescent="0.35">
      <c r="A25" s="44" t="s">
        <v>81</v>
      </c>
      <c r="B25" s="45" t="s">
        <v>82</v>
      </c>
      <c r="C25" s="45" t="s">
        <v>83</v>
      </c>
      <c r="D25" s="46" t="s">
        <v>84</v>
      </c>
    </row>
    <row r="26" spans="1:4" ht="27" thickBot="1" x14ac:dyDescent="0.35">
      <c r="A26" s="44" t="s">
        <v>85</v>
      </c>
      <c r="B26" s="45" t="s">
        <v>86</v>
      </c>
      <c r="C26" s="45" t="s">
        <v>87</v>
      </c>
      <c r="D26" s="45" t="s">
        <v>88</v>
      </c>
    </row>
    <row r="27" spans="1:4" ht="27" thickBot="1" x14ac:dyDescent="0.35">
      <c r="A27" s="44" t="s">
        <v>89</v>
      </c>
      <c r="B27" s="45" t="s">
        <v>90</v>
      </c>
      <c r="C27" s="45" t="s">
        <v>91</v>
      </c>
      <c r="D27" s="46" t="s">
        <v>92</v>
      </c>
    </row>
    <row r="28" spans="1:4" ht="27" thickBot="1" x14ac:dyDescent="0.35">
      <c r="A28" s="44" t="s">
        <v>93</v>
      </c>
      <c r="B28" s="45" t="s">
        <v>94</v>
      </c>
      <c r="C28" s="45" t="s">
        <v>95</v>
      </c>
      <c r="D28" s="45" t="s">
        <v>96</v>
      </c>
    </row>
    <row r="29" spans="1:4" ht="27" thickBot="1" x14ac:dyDescent="0.35">
      <c r="A29" s="44" t="s">
        <v>97</v>
      </c>
      <c r="B29" s="45" t="s">
        <v>98</v>
      </c>
      <c r="C29" s="45" t="s">
        <v>99</v>
      </c>
      <c r="D29" s="46" t="s">
        <v>100</v>
      </c>
    </row>
    <row r="30" spans="1:4" ht="27" thickBot="1" x14ac:dyDescent="0.35">
      <c r="A30" s="44" t="s">
        <v>101</v>
      </c>
      <c r="B30" s="45" t="s">
        <v>102</v>
      </c>
      <c r="C30" s="45" t="s">
        <v>103</v>
      </c>
      <c r="D30" s="45" t="s">
        <v>104</v>
      </c>
    </row>
    <row r="31" spans="1:4" ht="40.200000000000003" thickBot="1" x14ac:dyDescent="0.35">
      <c r="A31" s="44" t="s">
        <v>105</v>
      </c>
      <c r="B31" s="45" t="s">
        <v>106</v>
      </c>
      <c r="C31" s="45" t="s">
        <v>106</v>
      </c>
      <c r="D31" s="46" t="s">
        <v>106</v>
      </c>
    </row>
    <row r="32" spans="1:4" ht="27" thickBot="1" x14ac:dyDescent="0.35">
      <c r="A32" s="44" t="s">
        <v>107</v>
      </c>
      <c r="B32" s="45" t="s">
        <v>108</v>
      </c>
      <c r="C32" s="45" t="s">
        <v>109</v>
      </c>
      <c r="D32" s="45" t="s">
        <v>110</v>
      </c>
    </row>
  </sheetData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FAD7-B3CB-4132-A20E-2247DA37BE2D}">
  <sheetPr>
    <tabColor rgb="FF0070C0"/>
  </sheetPr>
  <dimension ref="B1:AB22"/>
  <sheetViews>
    <sheetView tabSelected="1" workbookViewId="0">
      <selection activeCell="D22" sqref="D22"/>
    </sheetView>
  </sheetViews>
  <sheetFormatPr defaultRowHeight="14.4" x14ac:dyDescent="0.3"/>
  <cols>
    <col min="2" max="3" width="13.88671875" bestFit="1" customWidth="1"/>
    <col min="4" max="4" width="16.44140625" customWidth="1"/>
    <col min="5" max="6" width="13.88671875" bestFit="1" customWidth="1"/>
    <col min="8" max="9" width="13.88671875" bestFit="1" customWidth="1"/>
    <col min="11" max="12" width="13.88671875" bestFit="1" customWidth="1"/>
    <col min="14" max="15" width="13.88671875" bestFit="1" customWidth="1"/>
    <col min="17" max="18" width="13.88671875" bestFit="1" customWidth="1"/>
    <col min="20" max="20" width="14.88671875" bestFit="1" customWidth="1"/>
    <col min="21" max="21" width="15.21875" customWidth="1"/>
    <col min="23" max="24" width="13.88671875" bestFit="1" customWidth="1"/>
    <col min="26" max="27" width="13.88671875" bestFit="1" customWidth="1"/>
  </cols>
  <sheetData>
    <row r="1" spans="2:28" x14ac:dyDescent="0.3">
      <c r="B1" s="120" t="s">
        <v>240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</row>
    <row r="3" spans="2:28" x14ac:dyDescent="0.3">
      <c r="B3" s="145" t="s">
        <v>112</v>
      </c>
      <c r="C3" s="146"/>
      <c r="D3" s="147"/>
      <c r="E3" s="148" t="s">
        <v>113</v>
      </c>
      <c r="F3" s="149"/>
      <c r="G3" s="150"/>
      <c r="H3" s="151" t="s">
        <v>64</v>
      </c>
      <c r="I3" s="152"/>
      <c r="J3" s="153"/>
      <c r="K3" s="154" t="s">
        <v>53</v>
      </c>
      <c r="L3" s="155"/>
      <c r="M3" s="156"/>
      <c r="N3" s="157" t="s">
        <v>114</v>
      </c>
      <c r="O3" s="158"/>
      <c r="P3" s="159"/>
      <c r="Q3" s="160" t="s">
        <v>57</v>
      </c>
      <c r="R3" s="161"/>
      <c r="S3" s="162"/>
      <c r="T3" s="136" t="s">
        <v>250</v>
      </c>
      <c r="U3" s="137"/>
      <c r="V3" s="138"/>
      <c r="W3" s="139" t="s">
        <v>251</v>
      </c>
      <c r="X3" s="140"/>
      <c r="Y3" s="141"/>
      <c r="Z3" s="142" t="s">
        <v>252</v>
      </c>
      <c r="AA3" s="143"/>
      <c r="AB3" s="144"/>
    </row>
    <row r="4" spans="2:28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  <c r="T4" s="91" t="s">
        <v>111</v>
      </c>
      <c r="U4" s="91" t="s">
        <v>2</v>
      </c>
      <c r="V4" s="91" t="s">
        <v>5</v>
      </c>
      <c r="W4" s="85" t="s">
        <v>111</v>
      </c>
      <c r="X4" s="85" t="s">
        <v>2</v>
      </c>
      <c r="Y4" s="85" t="s">
        <v>5</v>
      </c>
      <c r="Z4" s="88" t="s">
        <v>111</v>
      </c>
      <c r="AA4" s="88" t="s">
        <v>2</v>
      </c>
      <c r="AB4" s="88" t="s">
        <v>5</v>
      </c>
    </row>
    <row r="5" spans="2:28" x14ac:dyDescent="0.3">
      <c r="B5" s="175">
        <f>'2023a'!P6</f>
        <v>21383235.272000007</v>
      </c>
      <c r="C5" s="175">
        <f>'2023a'!O6</f>
        <v>21200344.212268472</v>
      </c>
      <c r="D5" s="60">
        <f>ABS((C5-B5)/B5)*100</f>
        <v>0.8553011618920916</v>
      </c>
      <c r="E5" s="176">
        <f>'2023a'!P25</f>
        <v>21383235.272000007</v>
      </c>
      <c r="F5" s="176">
        <f>'2023a'!O25</f>
        <v>21200344.212268472</v>
      </c>
      <c r="G5" s="61">
        <f>ABS((F5-E5)/E5)*100</f>
        <v>0.8553011618920916</v>
      </c>
      <c r="H5" s="177">
        <f>'2023a'!P44</f>
        <v>21383235.272000007</v>
      </c>
      <c r="I5" s="177">
        <f>'2023a'!O44</f>
        <v>21217394.11164213</v>
      </c>
      <c r="J5" s="62">
        <f>ABS((I5-H5)/H5)*100</f>
        <v>0.7755662707178651</v>
      </c>
      <c r="K5" s="178">
        <f>'2023a'!P63</f>
        <v>21383235.272000007</v>
      </c>
      <c r="L5" s="178">
        <f>'2023a'!O63</f>
        <v>21197707.365968939</v>
      </c>
      <c r="M5" s="63">
        <f>ABS((L5-K5)/K5)*100</f>
        <v>0.86763253395058271</v>
      </c>
      <c r="N5" s="179">
        <f>'2023a'!P82</f>
        <v>21383235.272000007</v>
      </c>
      <c r="O5" s="179">
        <f>'2023a'!O82</f>
        <v>21225714.257732879</v>
      </c>
      <c r="P5" s="71">
        <f>ABS((O5-N5)/N5)*100</f>
        <v>0.7366566016013103</v>
      </c>
      <c r="Q5" s="180">
        <f>'2023a'!P102</f>
        <v>21383235.272000007</v>
      </c>
      <c r="R5" s="180">
        <f>'2023a'!O102</f>
        <v>21227327.086052008</v>
      </c>
      <c r="S5" s="65">
        <f>ABS((R5-Q5)/Q5)*100</f>
        <v>0.7291141118956459</v>
      </c>
      <c r="T5" s="172">
        <f>'2023a'!J121</f>
        <v>21383235.272000007</v>
      </c>
      <c r="U5" s="172">
        <f>'2023a'!I121</f>
        <v>24751094.98</v>
      </c>
      <c r="V5" s="92">
        <f>ABS((U5-T5)/T5)*100</f>
        <v>15.750000713923734</v>
      </c>
      <c r="W5" s="173">
        <f>'2023a'!J140</f>
        <v>21383235.272000007</v>
      </c>
      <c r="X5" s="173">
        <f>'2023a'!I140</f>
        <v>24289374.609999999</v>
      </c>
      <c r="Y5" s="86">
        <f>ABS((X5-W5)/W5)*100</f>
        <v>13.590737327785929</v>
      </c>
      <c r="Z5" s="174">
        <f>'2023a'!J159</f>
        <v>21383235.272000007</v>
      </c>
      <c r="AA5" s="174">
        <f>'2023a'!I159</f>
        <v>23761842.149999999</v>
      </c>
      <c r="AB5" s="89">
        <f>ABS((AA5-Z5)/Z5)*100</f>
        <v>11.123699700927045</v>
      </c>
    </row>
    <row r="6" spans="2:28" x14ac:dyDescent="0.3">
      <c r="B6" s="175">
        <f>'2023a'!P7</f>
        <v>23369011.471999992</v>
      </c>
      <c r="C6" s="175">
        <f>'2023a'!O7</f>
        <v>24582018.695413128</v>
      </c>
      <c r="D6" s="60">
        <f t="shared" ref="D6:D18" si="0">ABS((C6-B6)/B6)*100</f>
        <v>5.1906655310025531</v>
      </c>
      <c r="E6" s="176">
        <f>'2023a'!P26</f>
        <v>23369011.471999992</v>
      </c>
      <c r="F6" s="176">
        <f>'2023a'!O26</f>
        <v>24246476.639600396</v>
      </c>
      <c r="G6" s="61">
        <f t="shared" ref="G6:G18" si="1">ABS((F6-E6)/E6)*100</f>
        <v>3.7548236417777248</v>
      </c>
      <c r="H6" s="177">
        <f>'2023a'!P45</f>
        <v>23369011.471999992</v>
      </c>
      <c r="I6" s="177">
        <f>'2023a'!O45</f>
        <v>24246476.639600396</v>
      </c>
      <c r="J6" s="62">
        <f t="shared" ref="J6:J18" si="2">ABS((I6-H6)/H6)*100</f>
        <v>3.7548236417777248</v>
      </c>
      <c r="K6" s="178">
        <f>'2023a'!P64</f>
        <v>23369011.471999992</v>
      </c>
      <c r="L6" s="178">
        <f>'2023a'!O64</f>
        <v>24246476.639600396</v>
      </c>
      <c r="M6" s="63">
        <f t="shared" ref="M6:M18" si="3">ABS((L6-K6)/K6)*100</f>
        <v>3.7548236417777248</v>
      </c>
      <c r="N6" s="179">
        <f>'2023a'!P83</f>
        <v>23369011.471999992</v>
      </c>
      <c r="O6" s="179">
        <f>'2023a'!O83</f>
        <v>24246476.639600396</v>
      </c>
      <c r="P6" s="71">
        <f t="shared" ref="P6:P18" si="4">ABS((O6-N6)/N6)*100</f>
        <v>3.7548236417777248</v>
      </c>
      <c r="Q6" s="180">
        <f>'2023a'!P103</f>
        <v>23369011.471999992</v>
      </c>
      <c r="R6" s="180">
        <f>'2023a'!O103</f>
        <v>24246476.639600396</v>
      </c>
      <c r="S6" s="65">
        <f t="shared" ref="S6:S18" si="5">ABS((R6-Q6)/Q6)*100</f>
        <v>3.7548236417777248</v>
      </c>
      <c r="T6" s="172">
        <f>'2023a'!J122</f>
        <v>23369011.471999992</v>
      </c>
      <c r="U6" s="172">
        <f>'2023a'!I122</f>
        <v>23836416.690000001</v>
      </c>
      <c r="V6" s="92">
        <f t="shared" ref="V6:V18" si="6">ABS((U6-T6)/T6)*100</f>
        <v>2.0001069303254</v>
      </c>
      <c r="W6" s="173">
        <f>'2023a'!J141</f>
        <v>23369011.471999992</v>
      </c>
      <c r="X6" s="173">
        <f>'2023a'!I141</f>
        <v>24895690.260000002</v>
      </c>
      <c r="Y6" s="86">
        <f t="shared" ref="Y6:Y18" si="7">ABS((X6-W6)/W6)*100</f>
        <v>6.5329198448519223</v>
      </c>
      <c r="Z6" s="174">
        <f>'2023a'!J160</f>
        <v>23369011.471999992</v>
      </c>
      <c r="AA6" s="174">
        <f>'2023a'!I160</f>
        <v>25450052.170000002</v>
      </c>
      <c r="AB6" s="89">
        <f t="shared" ref="AB6:AB18" si="8">ABS((AA6-Z6)/Z6)*100</f>
        <v>8.9051293440180253</v>
      </c>
    </row>
    <row r="7" spans="2:28" x14ac:dyDescent="0.3">
      <c r="B7" s="175">
        <f>'2023a'!P8</f>
        <v>20658324.559999991</v>
      </c>
      <c r="C7" s="175">
        <f>'2023a'!O8</f>
        <v>24194371.212374106</v>
      </c>
      <c r="D7" s="60">
        <f t="shared" si="0"/>
        <v>17.116812363481021</v>
      </c>
      <c r="E7" s="176">
        <f>'2023a'!P27</f>
        <v>20658324.559999991</v>
      </c>
      <c r="F7" s="176">
        <f>'2023a'!O27</f>
        <v>24194371.212374106</v>
      </c>
      <c r="G7" s="61">
        <f t="shared" si="1"/>
        <v>17.116812363481021</v>
      </c>
      <c r="H7" s="177">
        <f>'2023a'!P46</f>
        <v>20658324.559999991</v>
      </c>
      <c r="I7" s="177">
        <f>'2023a'!O46</f>
        <v>24194371.212374106</v>
      </c>
      <c r="J7" s="62">
        <f t="shared" si="2"/>
        <v>17.116812363481021</v>
      </c>
      <c r="K7" s="178">
        <f>'2023a'!P65</f>
        <v>20658324.559999991</v>
      </c>
      <c r="L7" s="178">
        <f>'2023a'!O65</f>
        <v>24194371.212374106</v>
      </c>
      <c r="M7" s="63">
        <f t="shared" si="3"/>
        <v>17.116812363481021</v>
      </c>
      <c r="N7" s="179">
        <f>'2023a'!P84</f>
        <v>20658324.559999991</v>
      </c>
      <c r="O7" s="179">
        <f>'2023a'!O84</f>
        <v>24194371.212374106</v>
      </c>
      <c r="P7" s="71">
        <f t="shared" si="4"/>
        <v>17.116812363481021</v>
      </c>
      <c r="Q7" s="180">
        <f>'2023a'!P104</f>
        <v>20658324.559999991</v>
      </c>
      <c r="R7" s="180">
        <f>'2023a'!O104</f>
        <v>24194371.212374106</v>
      </c>
      <c r="S7" s="65">
        <f t="shared" si="5"/>
        <v>17.116812363481021</v>
      </c>
      <c r="T7" s="172">
        <f>'2023a'!J123</f>
        <v>20658324.559999991</v>
      </c>
      <c r="U7" s="172">
        <f>'2023a'!I123</f>
        <v>23757841.550000001</v>
      </c>
      <c r="V7" s="92">
        <f t="shared" si="6"/>
        <v>15.003719110897787</v>
      </c>
      <c r="W7" s="173">
        <f>'2023a'!J142</f>
        <v>20658324.559999991</v>
      </c>
      <c r="X7" s="173">
        <f>'2023a'!I142</f>
        <v>24087548.109999999</v>
      </c>
      <c r="Y7" s="86">
        <f t="shared" si="7"/>
        <v>16.599717658807126</v>
      </c>
      <c r="Z7" s="174">
        <f>'2023a'!J161</f>
        <v>20658324.559999991</v>
      </c>
      <c r="AA7" s="174">
        <f>'2023a'!I161</f>
        <v>23538736.960000001</v>
      </c>
      <c r="AB7" s="89">
        <f t="shared" si="8"/>
        <v>13.943107494676765</v>
      </c>
    </row>
    <row r="8" spans="2:28" x14ac:dyDescent="0.3">
      <c r="B8" s="175">
        <f>'2023a'!P9</f>
        <v>23414288.264000002</v>
      </c>
      <c r="C8" s="175">
        <f>'2023a'!O9</f>
        <v>23693643.126322679</v>
      </c>
      <c r="D8" s="60">
        <f t="shared" si="0"/>
        <v>1.193095682315449</v>
      </c>
      <c r="E8" s="176">
        <f>'2023a'!P28</f>
        <v>23414288.264000002</v>
      </c>
      <c r="F8" s="176">
        <f>'2023a'!O28</f>
        <v>23693643.126322679</v>
      </c>
      <c r="G8" s="61">
        <f t="shared" si="1"/>
        <v>1.193095682315449</v>
      </c>
      <c r="H8" s="177">
        <f>'2023a'!P47</f>
        <v>23414288.264000002</v>
      </c>
      <c r="I8" s="177">
        <f>'2023a'!O47</f>
        <v>23693643.126322679</v>
      </c>
      <c r="J8" s="62">
        <f t="shared" si="2"/>
        <v>1.193095682315449</v>
      </c>
      <c r="K8" s="178">
        <f>'2023a'!P66</f>
        <v>23414288.264000002</v>
      </c>
      <c r="L8" s="178">
        <f>'2023a'!O66</f>
        <v>23693643.126322679</v>
      </c>
      <c r="M8" s="63">
        <f t="shared" si="3"/>
        <v>1.193095682315449</v>
      </c>
      <c r="N8" s="179">
        <f>'2023a'!P85</f>
        <v>23414288.264000002</v>
      </c>
      <c r="O8" s="179">
        <f>'2023a'!O85</f>
        <v>23693643.126322679</v>
      </c>
      <c r="P8" s="71">
        <f t="shared" si="4"/>
        <v>1.193095682315449</v>
      </c>
      <c r="Q8" s="180">
        <f>'2023a'!P105</f>
        <v>23414288.264000002</v>
      </c>
      <c r="R8" s="180">
        <f>'2023a'!O105</f>
        <v>23693643.126322679</v>
      </c>
      <c r="S8" s="65">
        <f t="shared" si="5"/>
        <v>1.193095682315449</v>
      </c>
      <c r="T8" s="172">
        <f>'2023a'!J124</f>
        <v>23414288.264000002</v>
      </c>
      <c r="U8" s="172">
        <f>'2023a'!I124</f>
        <v>23759364.210000001</v>
      </c>
      <c r="V8" s="92">
        <f t="shared" si="6"/>
        <v>1.4737836235259847</v>
      </c>
      <c r="W8" s="173">
        <f>'2023a'!J143</f>
        <v>23414288.264000002</v>
      </c>
      <c r="X8" s="173">
        <f>'2023a'!I143</f>
        <v>24602547.57</v>
      </c>
      <c r="Y8" s="86">
        <f t="shared" si="7"/>
        <v>5.0749324199060686</v>
      </c>
      <c r="Z8" s="174">
        <f>'2023a'!J162</f>
        <v>23414288.264000002</v>
      </c>
      <c r="AA8" s="174">
        <f>'2023a'!I162</f>
        <v>25595987.280000001</v>
      </c>
      <c r="AB8" s="89">
        <f t="shared" si="8"/>
        <v>9.3178105240739288</v>
      </c>
    </row>
    <row r="9" spans="2:28" x14ac:dyDescent="0.3">
      <c r="B9" s="175">
        <f>'2023a'!P10</f>
        <v>23798220.599999998</v>
      </c>
      <c r="C9" s="175">
        <f>'2023a'!O10</f>
        <v>24555600.9766955</v>
      </c>
      <c r="D9" s="60">
        <f t="shared" si="0"/>
        <v>3.1825084296239465</v>
      </c>
      <c r="E9" s="176">
        <f>'2023a'!P29</f>
        <v>23798220.599999998</v>
      </c>
      <c r="F9" s="176">
        <f>'2023a'!O29</f>
        <v>24555600.9766955</v>
      </c>
      <c r="G9" s="61">
        <f t="shared" si="1"/>
        <v>3.1825084296239465</v>
      </c>
      <c r="H9" s="177">
        <f>'2023a'!P48</f>
        <v>23798220.599999998</v>
      </c>
      <c r="I9" s="177">
        <f>'2023a'!O48</f>
        <v>24555600.9766955</v>
      </c>
      <c r="J9" s="62">
        <f t="shared" si="2"/>
        <v>3.1825084296239465</v>
      </c>
      <c r="K9" s="178">
        <f>'2023a'!P67</f>
        <v>23798220.599999998</v>
      </c>
      <c r="L9" s="178">
        <f>'2023a'!O67</f>
        <v>24555600.9766955</v>
      </c>
      <c r="M9" s="63">
        <f t="shared" si="3"/>
        <v>3.1825084296239465</v>
      </c>
      <c r="N9" s="179">
        <f>'2023a'!P86</f>
        <v>23798220.599999998</v>
      </c>
      <c r="O9" s="179">
        <f>'2023a'!O86</f>
        <v>24555600.9766955</v>
      </c>
      <c r="P9" s="71">
        <f t="shared" si="4"/>
        <v>3.1825084296239465</v>
      </c>
      <c r="Q9" s="180">
        <f>'2023a'!P106</f>
        <v>23798220.599999998</v>
      </c>
      <c r="R9" s="180">
        <f>'2023a'!O106</f>
        <v>24555600.9766955</v>
      </c>
      <c r="S9" s="65">
        <f t="shared" si="5"/>
        <v>3.1825084296239465</v>
      </c>
      <c r="T9" s="172">
        <f>'2023a'!J125</f>
        <v>23798220.599999998</v>
      </c>
      <c r="U9" s="172">
        <f>'2023a'!I125</f>
        <v>23920559.449999999</v>
      </c>
      <c r="V9" s="92">
        <f t="shared" si="6"/>
        <v>0.51406721559678925</v>
      </c>
      <c r="W9" s="173">
        <f>'2023a'!J144</f>
        <v>23798220.599999998</v>
      </c>
      <c r="X9" s="173">
        <f>'2023a'!I144</f>
        <v>24843549.829999998</v>
      </c>
      <c r="Y9" s="86">
        <f t="shared" si="7"/>
        <v>4.3924680234286111</v>
      </c>
      <c r="Z9" s="174">
        <f>'2023a'!J163</f>
        <v>23798220.599999998</v>
      </c>
      <c r="AA9" s="174">
        <f>'2023a'!I163</f>
        <v>24520075.52</v>
      </c>
      <c r="AB9" s="89">
        <f t="shared" si="8"/>
        <v>3.0332306441432086</v>
      </c>
    </row>
    <row r="10" spans="2:28" x14ac:dyDescent="0.3">
      <c r="B10" s="175">
        <f>'2023a'!P11</f>
        <v>25703679.503999997</v>
      </c>
      <c r="C10" s="175">
        <f>'2023a'!O11</f>
        <v>25501120.936197132</v>
      </c>
      <c r="D10" s="60">
        <f t="shared" si="0"/>
        <v>0.78805280688059842</v>
      </c>
      <c r="E10" s="176">
        <f>'2023a'!P30</f>
        <v>25703679.503999997</v>
      </c>
      <c r="F10" s="176">
        <f>'2023a'!O30</f>
        <v>25501120.936197132</v>
      </c>
      <c r="G10" s="61">
        <f t="shared" si="1"/>
        <v>0.78805280688059842</v>
      </c>
      <c r="H10" s="177">
        <f>'2023a'!P49</f>
        <v>25703679.503999997</v>
      </c>
      <c r="I10" s="177">
        <f>'2023a'!O49</f>
        <v>25501120.936197132</v>
      </c>
      <c r="J10" s="62">
        <f t="shared" si="2"/>
        <v>0.78805280688059842</v>
      </c>
      <c r="K10" s="178">
        <f>'2023a'!P68</f>
        <v>25703679.503999997</v>
      </c>
      <c r="L10" s="178">
        <f>'2023a'!O68</f>
        <v>25501120.936197132</v>
      </c>
      <c r="M10" s="63">
        <f t="shared" si="3"/>
        <v>0.78805280688059842</v>
      </c>
      <c r="N10" s="179">
        <f>'2023a'!P87</f>
        <v>25703679.503999997</v>
      </c>
      <c r="O10" s="179">
        <f>'2023a'!O87</f>
        <v>25501120.936197132</v>
      </c>
      <c r="P10" s="71">
        <f t="shared" si="4"/>
        <v>0.78805280688059842</v>
      </c>
      <c r="Q10" s="180">
        <f>'2023a'!P107</f>
        <v>25703679.503999997</v>
      </c>
      <c r="R10" s="180">
        <f>'2023a'!O107</f>
        <v>25501120.936197132</v>
      </c>
      <c r="S10" s="65">
        <f t="shared" si="5"/>
        <v>0.78805280688059842</v>
      </c>
      <c r="T10" s="172">
        <f>'2023a'!J126</f>
        <v>25703679.503999997</v>
      </c>
      <c r="U10" s="172">
        <f>'2023a'!I126</f>
        <v>24210309.030000001</v>
      </c>
      <c r="V10" s="92">
        <f t="shared" si="6"/>
        <v>5.8099482362733239</v>
      </c>
      <c r="W10" s="173">
        <f>'2023a'!J145</f>
        <v>25703679.503999997</v>
      </c>
      <c r="X10" s="173">
        <f>'2023a'!I145</f>
        <v>24774185.129999999</v>
      </c>
      <c r="Y10" s="86">
        <f t="shared" si="7"/>
        <v>3.6161918913412783</v>
      </c>
      <c r="Z10" s="174">
        <f>'2023a'!J164</f>
        <v>25703679.503999997</v>
      </c>
      <c r="AA10" s="174">
        <f>'2023a'!I164</f>
        <v>23995249.600000001</v>
      </c>
      <c r="AB10" s="89">
        <f t="shared" si="8"/>
        <v>6.64663556723126</v>
      </c>
    </row>
    <row r="11" spans="2:28" x14ac:dyDescent="0.3">
      <c r="B11" s="175">
        <f>'2023a'!P12</f>
        <v>18556039.552000005</v>
      </c>
      <c r="C11" s="175">
        <f>'2023a'!O12</f>
        <v>20788038.665138785</v>
      </c>
      <c r="D11" s="60">
        <f t="shared" si="0"/>
        <v>12.028423990388676</v>
      </c>
      <c r="E11" s="176">
        <f>'2023a'!P31</f>
        <v>18556039.552000005</v>
      </c>
      <c r="F11" s="176">
        <f>'2023a'!O31</f>
        <v>20788038.665138785</v>
      </c>
      <c r="G11" s="61">
        <f t="shared" si="1"/>
        <v>12.028423990388676</v>
      </c>
      <c r="H11" s="177">
        <f>'2023a'!P50</f>
        <v>18556039.552000005</v>
      </c>
      <c r="I11" s="177">
        <f>'2023a'!O50</f>
        <v>20788038.665138785</v>
      </c>
      <c r="J11" s="62">
        <f t="shared" si="2"/>
        <v>12.028423990388676</v>
      </c>
      <c r="K11" s="178">
        <f>'2023a'!P69</f>
        <v>18556039.552000005</v>
      </c>
      <c r="L11" s="178">
        <f>'2023a'!O69</f>
        <v>20788038.665138785</v>
      </c>
      <c r="M11" s="63">
        <f t="shared" si="3"/>
        <v>12.028423990388676</v>
      </c>
      <c r="N11" s="179">
        <f>'2023a'!P88</f>
        <v>18556039.552000005</v>
      </c>
      <c r="O11" s="179">
        <f>'2023a'!O88</f>
        <v>20788038.665138785</v>
      </c>
      <c r="P11" s="71">
        <f t="shared" si="4"/>
        <v>12.028423990388676</v>
      </c>
      <c r="Q11" s="180">
        <f>'2023a'!P108</f>
        <v>18556039.552000005</v>
      </c>
      <c r="R11" s="180">
        <f>'2023a'!O108</f>
        <v>20788038.665138785</v>
      </c>
      <c r="S11" s="65">
        <f t="shared" si="5"/>
        <v>12.028423990388676</v>
      </c>
      <c r="T11" s="172">
        <f>'2023a'!J127</f>
        <v>18556039.552000005</v>
      </c>
      <c r="U11" s="172">
        <f>'2023a'!I127</f>
        <v>23650636.239999998</v>
      </c>
      <c r="V11" s="92">
        <f t="shared" si="6"/>
        <v>27.455194163190328</v>
      </c>
      <c r="W11" s="173">
        <f>'2023a'!J146</f>
        <v>18556039.552000005</v>
      </c>
      <c r="X11" s="173">
        <f>'2023a'!I146</f>
        <v>23483690.02</v>
      </c>
      <c r="Y11" s="86">
        <f t="shared" si="7"/>
        <v>26.555507462630317</v>
      </c>
      <c r="Z11" s="174">
        <f>'2023a'!J165</f>
        <v>18556039.552000005</v>
      </c>
      <c r="AA11" s="174">
        <f>'2023a'!I165</f>
        <v>23135450.379999999</v>
      </c>
      <c r="AB11" s="89">
        <f t="shared" si="8"/>
        <v>24.678815838730074</v>
      </c>
    </row>
    <row r="12" spans="2:28" x14ac:dyDescent="0.3">
      <c r="B12" s="175">
        <f>'2023a'!P13</f>
        <v>20061147.615999997</v>
      </c>
      <c r="C12" s="175">
        <f>'2023a'!O13</f>
        <v>20381548.606823944</v>
      </c>
      <c r="D12" s="60">
        <f t="shared" si="0"/>
        <v>1.5971219441524247</v>
      </c>
      <c r="E12" s="176">
        <f>'2023a'!P32</f>
        <v>20061147.615999997</v>
      </c>
      <c r="F12" s="176">
        <f>'2023a'!O32</f>
        <v>20381548.606823944</v>
      </c>
      <c r="G12" s="61">
        <f t="shared" si="1"/>
        <v>1.5971219441524247</v>
      </c>
      <c r="H12" s="177">
        <f>'2023a'!P51</f>
        <v>20061147.615999997</v>
      </c>
      <c r="I12" s="177">
        <f>'2023a'!O51</f>
        <v>20381548.606823944</v>
      </c>
      <c r="J12" s="62">
        <f t="shared" si="2"/>
        <v>1.5971219441524247</v>
      </c>
      <c r="K12" s="178">
        <f>'2023a'!P70</f>
        <v>20061147.615999997</v>
      </c>
      <c r="L12" s="178">
        <f>'2023a'!O70</f>
        <v>20381548.606823944</v>
      </c>
      <c r="M12" s="63">
        <f t="shared" si="3"/>
        <v>1.5971219441524247</v>
      </c>
      <c r="N12" s="179">
        <f>'2023a'!P89</f>
        <v>20061147.615999997</v>
      </c>
      <c r="O12" s="179">
        <f>'2023a'!O89</f>
        <v>20381548.606823944</v>
      </c>
      <c r="P12" s="71">
        <f t="shared" si="4"/>
        <v>1.5971219441524247</v>
      </c>
      <c r="Q12" s="180">
        <f>'2023a'!P109</f>
        <v>20061147.615999997</v>
      </c>
      <c r="R12" s="180">
        <f>'2023a'!O109</f>
        <v>20381548.606823944</v>
      </c>
      <c r="S12" s="65">
        <f t="shared" si="5"/>
        <v>1.5971219441524247</v>
      </c>
      <c r="T12" s="172">
        <f>'2023a'!J128</f>
        <v>20061147.615999997</v>
      </c>
      <c r="U12" s="172">
        <f>'2023a'!I128</f>
        <v>23736156.23</v>
      </c>
      <c r="V12" s="92">
        <f t="shared" si="6"/>
        <v>18.31903480471356</v>
      </c>
      <c r="W12" s="173">
        <f>'2023a'!J147</f>
        <v>20061147.615999997</v>
      </c>
      <c r="X12" s="173">
        <f>'2023a'!I147</f>
        <v>22646785.600000001</v>
      </c>
      <c r="Y12" s="86">
        <f t="shared" si="7"/>
        <v>12.888783999265325</v>
      </c>
      <c r="Z12" s="174">
        <f>'2023a'!J166</f>
        <v>20061147.615999997</v>
      </c>
      <c r="AA12" s="174">
        <f>'2023a'!I166</f>
        <v>22024929.379999999</v>
      </c>
      <c r="AB12" s="89">
        <f t="shared" si="8"/>
        <v>9.7889801799462646</v>
      </c>
    </row>
    <row r="13" spans="2:28" x14ac:dyDescent="0.3">
      <c r="B13" s="175">
        <f>'2023a'!P14</f>
        <v>22518592.687999986</v>
      </c>
      <c r="C13" s="175">
        <f>'2023a'!O14</f>
        <v>23873908.915912636</v>
      </c>
      <c r="D13" s="60">
        <f t="shared" si="0"/>
        <v>6.0186542147231465</v>
      </c>
      <c r="E13" s="176">
        <f>'2023a'!P33</f>
        <v>22518592.687999986</v>
      </c>
      <c r="F13" s="176">
        <f>'2023a'!O33</f>
        <v>23873908.915912636</v>
      </c>
      <c r="G13" s="61">
        <f t="shared" si="1"/>
        <v>6.0186542147231465</v>
      </c>
      <c r="H13" s="177">
        <f>'2023a'!P52</f>
        <v>22518592.687999986</v>
      </c>
      <c r="I13" s="177">
        <f>'2023a'!O52</f>
        <v>23873908.915912636</v>
      </c>
      <c r="J13" s="62">
        <f t="shared" si="2"/>
        <v>6.0186542147231465</v>
      </c>
      <c r="K13" s="178">
        <f>'2023a'!P71</f>
        <v>22518592.687999986</v>
      </c>
      <c r="L13" s="178">
        <f>'2023a'!O71</f>
        <v>23873908.915912636</v>
      </c>
      <c r="M13" s="63">
        <f t="shared" si="3"/>
        <v>6.0186542147231465</v>
      </c>
      <c r="N13" s="179">
        <f>'2023a'!P90</f>
        <v>22518592.687999986</v>
      </c>
      <c r="O13" s="179">
        <f>'2023a'!O90</f>
        <v>23873908.915912636</v>
      </c>
      <c r="P13" s="71">
        <f t="shared" si="4"/>
        <v>6.0186542147231465</v>
      </c>
      <c r="Q13" s="180">
        <f>'2023a'!P110</f>
        <v>22518592.687999986</v>
      </c>
      <c r="R13" s="180">
        <f>'2023a'!O110</f>
        <v>23873908.915912636</v>
      </c>
      <c r="S13" s="65">
        <f t="shared" si="5"/>
        <v>6.0186542147231465</v>
      </c>
      <c r="T13" s="172">
        <f>'2023a'!J129</f>
        <v>22518592.687999986</v>
      </c>
      <c r="U13" s="172">
        <f>'2023a'!I129</f>
        <v>24054812.98</v>
      </c>
      <c r="V13" s="92">
        <f t="shared" si="6"/>
        <v>6.822008432252769</v>
      </c>
      <c r="W13" s="173">
        <f>'2023a'!J148</f>
        <v>22518592.687999986</v>
      </c>
      <c r="X13" s="173">
        <f>'2023a'!I148</f>
        <v>25011752.09</v>
      </c>
      <c r="Y13" s="86">
        <f t="shared" si="7"/>
        <v>11.071559562106216</v>
      </c>
      <c r="Z13" s="174">
        <f>'2023a'!J167</f>
        <v>22518592.687999986</v>
      </c>
      <c r="AA13" s="174">
        <f>'2023a'!I167</f>
        <v>25275191.059999999</v>
      </c>
      <c r="AB13" s="89">
        <f t="shared" si="8"/>
        <v>12.241432713816907</v>
      </c>
    </row>
    <row r="14" spans="2:28" x14ac:dyDescent="0.3">
      <c r="B14" s="175">
        <f>'2023a'!P15</f>
        <v>25094944.103999987</v>
      </c>
      <c r="C14" s="175">
        <f>'2023a'!O15</f>
        <v>25609822.462527826</v>
      </c>
      <c r="D14" s="60">
        <f t="shared" si="0"/>
        <v>2.0517214798090366</v>
      </c>
      <c r="E14" s="176">
        <f>'2023a'!P34</f>
        <v>25094944.103999987</v>
      </c>
      <c r="F14" s="176">
        <f>'2023a'!O34</f>
        <v>25661063.645987336</v>
      </c>
      <c r="G14" s="61">
        <f t="shared" si="1"/>
        <v>2.2559107509512732</v>
      </c>
      <c r="H14" s="177">
        <f>'2023a'!P53</f>
        <v>25094944.103999987</v>
      </c>
      <c r="I14" s="177">
        <f>'2023a'!O53</f>
        <v>25680321.805250682</v>
      </c>
      <c r="J14" s="62">
        <f t="shared" si="2"/>
        <v>2.3326519430556885</v>
      </c>
      <c r="K14" s="178">
        <f>'2023a'!P72</f>
        <v>25094944.103999987</v>
      </c>
      <c r="L14" s="178">
        <f>'2023a'!O72</f>
        <v>25661121.565263316</v>
      </c>
      <c r="M14" s="63">
        <f t="shared" si="3"/>
        <v>2.2561415515290326</v>
      </c>
      <c r="N14" s="179">
        <f>'2023a'!P91</f>
        <v>25094944.103999987</v>
      </c>
      <c r="O14" s="179">
        <f>'2023a'!O91</f>
        <v>25678323.590229373</v>
      </c>
      <c r="P14" s="71">
        <f t="shared" si="4"/>
        <v>2.3246893231230548</v>
      </c>
      <c r="Q14" s="180">
        <f>'2023a'!P111</f>
        <v>25094944.103999987</v>
      </c>
      <c r="R14" s="180">
        <f>'2023a'!O111</f>
        <v>25667318.927793175</v>
      </c>
      <c r="S14" s="65">
        <f t="shared" si="5"/>
        <v>2.2808372133491006</v>
      </c>
      <c r="T14" s="172">
        <f>'2023a'!J130</f>
        <v>25094944.103999987</v>
      </c>
      <c r="U14" s="172">
        <f>'2023a'!I130</f>
        <v>23807154.420000002</v>
      </c>
      <c r="V14" s="92">
        <f t="shared" si="6"/>
        <v>5.131669864109079</v>
      </c>
      <c r="W14" s="173">
        <f>'2023a'!J149</f>
        <v>25094944.103999987</v>
      </c>
      <c r="X14" s="173">
        <f>'2023a'!I149</f>
        <v>24843549.829999998</v>
      </c>
      <c r="Y14" s="86">
        <f t="shared" si="7"/>
        <v>1.0017725999234972</v>
      </c>
      <c r="Z14" s="174">
        <f>'2023a'!J168</f>
        <v>25094944.103999987</v>
      </c>
      <c r="AA14" s="174">
        <f>'2023a'!I168</f>
        <v>25968004.559999999</v>
      </c>
      <c r="AB14" s="89">
        <f t="shared" si="8"/>
        <v>3.4790292912461629</v>
      </c>
    </row>
    <row r="15" spans="2:28" x14ac:dyDescent="0.3">
      <c r="B15" s="175">
        <f>'2023a'!P16</f>
        <v>23465166.680000011</v>
      </c>
      <c r="C15" s="175">
        <f>'2023a'!O16</f>
        <v>26106230.599761307</v>
      </c>
      <c r="D15" s="60">
        <f t="shared" si="0"/>
        <v>11.255253183487273</v>
      </c>
      <c r="E15" s="176">
        <f>'2023a'!P35</f>
        <v>23465166.680000011</v>
      </c>
      <c r="F15" s="176">
        <f>'2023a'!O35</f>
        <v>26106230.599761307</v>
      </c>
      <c r="G15" s="61">
        <f t="shared" si="1"/>
        <v>11.255253183487273</v>
      </c>
      <c r="H15" s="177">
        <f>'2023a'!P54</f>
        <v>23465166.680000011</v>
      </c>
      <c r="I15" s="177">
        <f>'2023a'!O54</f>
        <v>26106230.599761307</v>
      </c>
      <c r="J15" s="62">
        <f t="shared" si="2"/>
        <v>11.255253183487273</v>
      </c>
      <c r="K15" s="178">
        <f>'2023a'!P73</f>
        <v>23465166.680000011</v>
      </c>
      <c r="L15" s="178">
        <f>'2023a'!O73</f>
        <v>26106230.599761307</v>
      </c>
      <c r="M15" s="63">
        <f t="shared" si="3"/>
        <v>11.255253183487273</v>
      </c>
      <c r="N15" s="179">
        <f>'2023a'!P92</f>
        <v>23465166.680000011</v>
      </c>
      <c r="O15" s="179">
        <f>'2023a'!O92</f>
        <v>26106230.599761307</v>
      </c>
      <c r="P15" s="71">
        <f t="shared" si="4"/>
        <v>11.255253183487273</v>
      </c>
      <c r="Q15" s="180">
        <f>'2023a'!P112</f>
        <v>23465166.680000011</v>
      </c>
      <c r="R15" s="180">
        <f>'2023a'!O112</f>
        <v>26106230.599761307</v>
      </c>
      <c r="S15" s="65">
        <f t="shared" si="5"/>
        <v>11.255253183487273</v>
      </c>
      <c r="T15" s="172">
        <f>'2023a'!J131</f>
        <v>23465166.680000011</v>
      </c>
      <c r="U15" s="172">
        <f>'2023a'!I131</f>
        <v>23758093.34</v>
      </c>
      <c r="V15" s="92">
        <f t="shared" si="6"/>
        <v>1.2483468112317233</v>
      </c>
      <c r="W15" s="173">
        <f>'2023a'!J150</f>
        <v>23465166.680000011</v>
      </c>
      <c r="X15" s="173">
        <f>'2023a'!I150</f>
        <v>24513573.969999999</v>
      </c>
      <c r="Y15" s="86">
        <f t="shared" si="7"/>
        <v>4.4679302913009931</v>
      </c>
      <c r="Z15" s="174">
        <f>'2023a'!J169</f>
        <v>23465166.680000011</v>
      </c>
      <c r="AA15" s="174">
        <f>'2023a'!I169</f>
        <v>25887002.73</v>
      </c>
      <c r="AB15" s="89">
        <f t="shared" si="8"/>
        <v>10.320983792815694</v>
      </c>
    </row>
    <row r="16" spans="2:28" x14ac:dyDescent="0.3">
      <c r="B16" s="175">
        <f>'2023a'!P17</f>
        <v>23458005.864</v>
      </c>
      <c r="C16" s="175">
        <f>'2023a'!O17</f>
        <v>26011189.355244555</v>
      </c>
      <c r="D16" s="60">
        <f t="shared" si="0"/>
        <v>10.884060248116896</v>
      </c>
      <c r="E16" s="176">
        <f>'2023a'!P36</f>
        <v>23458005.864</v>
      </c>
      <c r="F16" s="176">
        <f>'2023a'!O36</f>
        <v>26011189.355244555</v>
      </c>
      <c r="G16" s="61">
        <f t="shared" si="1"/>
        <v>10.884060248116896</v>
      </c>
      <c r="H16" s="177">
        <f>'2023a'!P55</f>
        <v>23458005.864</v>
      </c>
      <c r="I16" s="177">
        <f>'2023a'!O55</f>
        <v>26011189.355244555</v>
      </c>
      <c r="J16" s="62">
        <f t="shared" si="2"/>
        <v>10.884060248116896</v>
      </c>
      <c r="K16" s="178">
        <f>'2023a'!P74</f>
        <v>23458005.864</v>
      </c>
      <c r="L16" s="178">
        <f>'2023a'!O74</f>
        <v>26011189.355244555</v>
      </c>
      <c r="M16" s="63">
        <f t="shared" si="3"/>
        <v>10.884060248116896</v>
      </c>
      <c r="N16" s="179">
        <f>'2023a'!P93</f>
        <v>23458005.864</v>
      </c>
      <c r="O16" s="179">
        <f>'2023a'!O93</f>
        <v>26011189.355244555</v>
      </c>
      <c r="P16" s="71">
        <f t="shared" si="4"/>
        <v>10.884060248116896</v>
      </c>
      <c r="Q16" s="180">
        <f>'2023a'!P113</f>
        <v>23458005.864</v>
      </c>
      <c r="R16" s="180">
        <f>'2023a'!O113</f>
        <v>26011189.355244555</v>
      </c>
      <c r="S16" s="65">
        <f t="shared" si="5"/>
        <v>10.884060248116896</v>
      </c>
      <c r="T16" s="172">
        <f>'2023a'!J132</f>
        <v>23458005.864</v>
      </c>
      <c r="U16" s="172">
        <f>'2023a'!I132</f>
        <v>23765307.84</v>
      </c>
      <c r="V16" s="92">
        <f t="shared" si="6"/>
        <v>1.3100089486788091</v>
      </c>
      <c r="W16" s="173">
        <f>'2023a'!J151</f>
        <v>23458005.864</v>
      </c>
      <c r="X16" s="173">
        <f>'2023a'!I151</f>
        <v>24607848.079999998</v>
      </c>
      <c r="Y16" s="86">
        <f t="shared" si="7"/>
        <v>4.9017048706796169</v>
      </c>
      <c r="Z16" s="174">
        <f>'2023a'!J170</f>
        <v>23458005.864</v>
      </c>
      <c r="AA16" s="174">
        <f>'2023a'!I170</f>
        <v>25670596.260000002</v>
      </c>
      <c r="AB16" s="89">
        <f t="shared" si="8"/>
        <v>9.4321333570624155</v>
      </c>
    </row>
    <row r="17" spans="2:28" x14ac:dyDescent="0.3">
      <c r="B17" s="175">
        <f>'2023a'!P18</f>
        <v>20598511.239999998</v>
      </c>
      <c r="C17" s="175">
        <f>'2023a'!O18</f>
        <v>23631540.625856444</v>
      </c>
      <c r="D17" s="60">
        <f t="shared" si="0"/>
        <v>14.724507759408567</v>
      </c>
      <c r="E17" s="176">
        <f>'2023a'!P37</f>
        <v>20598511.239999998</v>
      </c>
      <c r="F17" s="176">
        <f>'2023a'!O37</f>
        <v>23631540.625856444</v>
      </c>
      <c r="G17" s="61">
        <f t="shared" si="1"/>
        <v>14.724507759408567</v>
      </c>
      <c r="H17" s="177">
        <f>'2023a'!P56</f>
        <v>20598511.239999998</v>
      </c>
      <c r="I17" s="177">
        <f>'2023a'!O56</f>
        <v>23631540.625856444</v>
      </c>
      <c r="J17" s="62">
        <f t="shared" si="2"/>
        <v>14.724507759408567</v>
      </c>
      <c r="K17" s="178">
        <f>'2023a'!P75</f>
        <v>20598511.239999998</v>
      </c>
      <c r="L17" s="178">
        <f>'2023a'!O75</f>
        <v>23631540.625856444</v>
      </c>
      <c r="M17" s="63">
        <f t="shared" si="3"/>
        <v>14.724507759408567</v>
      </c>
      <c r="N17" s="179">
        <f>'2023a'!P94</f>
        <v>20598511.239999998</v>
      </c>
      <c r="O17" s="179">
        <f>'2023a'!O94</f>
        <v>23631540.625856444</v>
      </c>
      <c r="P17" s="71">
        <f t="shared" si="4"/>
        <v>14.724507759408567</v>
      </c>
      <c r="Q17" s="180">
        <f>'2023a'!P114</f>
        <v>20598511.239999998</v>
      </c>
      <c r="R17" s="180">
        <f>'2023a'!O114</f>
        <v>23631540.625856444</v>
      </c>
      <c r="S17" s="65">
        <f t="shared" si="5"/>
        <v>14.724507759408567</v>
      </c>
      <c r="T17" s="172">
        <f>'2023a'!J133</f>
        <v>20598511.239999998</v>
      </c>
      <c r="U17" s="172">
        <f>'2023a'!I133</f>
        <v>23821004.100000001</v>
      </c>
      <c r="V17" s="92">
        <f t="shared" si="6"/>
        <v>15.644299835331221</v>
      </c>
      <c r="W17" s="173">
        <f>'2023a'!J152</f>
        <v>20598511.239999998</v>
      </c>
      <c r="X17" s="173">
        <f>'2023a'!I152</f>
        <v>24625797.219999999</v>
      </c>
      <c r="Y17" s="86">
        <f t="shared" si="7"/>
        <v>19.551344915546434</v>
      </c>
      <c r="Z17" s="174">
        <f>'2023a'!J171</f>
        <v>20598511.239999998</v>
      </c>
      <c r="AA17" s="174">
        <f>'2023a'!I171</f>
        <v>25332612.350000001</v>
      </c>
      <c r="AB17" s="89">
        <f t="shared" si="8"/>
        <v>22.982734309491793</v>
      </c>
    </row>
    <row r="18" spans="2:28" x14ac:dyDescent="0.3">
      <c r="B18" s="175">
        <f>'2023a'!P19</f>
        <v>23319885.640000015</v>
      </c>
      <c r="C18" s="175">
        <f>'2023a'!O19</f>
        <v>26038315.676203031</v>
      </c>
      <c r="D18" s="60">
        <f t="shared" si="0"/>
        <v>11.657132792881972</v>
      </c>
      <c r="E18" s="176">
        <f>'2023a'!P38</f>
        <v>23319885.640000015</v>
      </c>
      <c r="F18" s="176">
        <f>'2023a'!O38</f>
        <v>26155896.821126029</v>
      </c>
      <c r="G18" s="61">
        <f t="shared" si="1"/>
        <v>12.161342576489631</v>
      </c>
      <c r="H18" s="177">
        <f>'2023a'!P57</f>
        <v>23319885.640000015</v>
      </c>
      <c r="I18" s="177">
        <f>'2023a'!O57</f>
        <v>26155896.821126029</v>
      </c>
      <c r="J18" s="62">
        <f t="shared" si="2"/>
        <v>12.161342576489631</v>
      </c>
      <c r="K18" s="178">
        <f>'2023a'!P76</f>
        <v>23319885.640000015</v>
      </c>
      <c r="L18" s="178">
        <f>'2023a'!O76</f>
        <v>26155896.821126029</v>
      </c>
      <c r="M18" s="63">
        <f t="shared" si="3"/>
        <v>12.161342576489631</v>
      </c>
      <c r="N18" s="179">
        <f>'2023a'!P95</f>
        <v>23319885.640000015</v>
      </c>
      <c r="O18" s="179">
        <f>'2023a'!O95</f>
        <v>26155896.821126029</v>
      </c>
      <c r="P18" s="71">
        <f t="shared" si="4"/>
        <v>12.161342576489631</v>
      </c>
      <c r="Q18" s="180">
        <f>'2023a'!P115</f>
        <v>23319885.640000015</v>
      </c>
      <c r="R18" s="180">
        <f>'2023a'!O115</f>
        <v>26121482.827490032</v>
      </c>
      <c r="S18" s="65">
        <f t="shared" si="5"/>
        <v>12.013768981287399</v>
      </c>
      <c r="T18" s="172">
        <f>'2023a'!J134</f>
        <v>23319885.640000015</v>
      </c>
      <c r="U18" s="172">
        <f>'2023a'!I134</f>
        <v>23768366.109999999</v>
      </c>
      <c r="V18" s="92">
        <f t="shared" si="6"/>
        <v>1.9231675357391831</v>
      </c>
      <c r="W18" s="173">
        <f>'2023a'!J153</f>
        <v>23319885.640000015</v>
      </c>
      <c r="X18" s="173">
        <f>'2023a'!I153</f>
        <v>25216361.5</v>
      </c>
      <c r="Y18" s="86">
        <f t="shared" si="7"/>
        <v>8.1324406529121518</v>
      </c>
      <c r="Z18" s="174">
        <f>'2023a'!J172</f>
        <v>23319885.640000015</v>
      </c>
      <c r="AA18" s="174">
        <f>'2023a'!I172</f>
        <v>26490709.07</v>
      </c>
      <c r="AB18" s="89">
        <f t="shared" si="8"/>
        <v>13.597079672471251</v>
      </c>
    </row>
    <row r="19" spans="2:28" x14ac:dyDescent="0.3">
      <c r="B19" s="164" t="s">
        <v>35</v>
      </c>
      <c r="C19" s="164"/>
      <c r="D19" s="67">
        <f>SUM(D5:D18)/14</f>
        <v>7.038807970583119</v>
      </c>
      <c r="E19" s="165" t="s">
        <v>35</v>
      </c>
      <c r="F19" s="165"/>
      <c r="G19" s="68">
        <f>SUM(G5:G18)/14</f>
        <v>6.9868477681206231</v>
      </c>
      <c r="H19" s="166" t="s">
        <v>35</v>
      </c>
      <c r="I19" s="166"/>
      <c r="J19" s="69">
        <f>SUM(J5:J18)/14</f>
        <v>6.9866339324727793</v>
      </c>
      <c r="K19" s="167" t="s">
        <v>35</v>
      </c>
      <c r="L19" s="167"/>
      <c r="M19" s="70">
        <f>SUM(M5:M18)/14</f>
        <v>6.9877450661660694</v>
      </c>
      <c r="N19" s="168" t="s">
        <v>35</v>
      </c>
      <c r="O19" s="168"/>
      <c r="P19" s="72">
        <f>SUM(P5:P18)/14</f>
        <v>6.9832859118264086</v>
      </c>
      <c r="Q19" s="163" t="s">
        <v>35</v>
      </c>
      <c r="R19" s="163"/>
      <c r="S19" s="73">
        <f>SUM(S5:S18)/14</f>
        <v>6.9690738979205618</v>
      </c>
      <c r="T19" s="133" t="s">
        <v>35</v>
      </c>
      <c r="U19" s="133"/>
      <c r="V19" s="93">
        <f>SUM(V5:V18)/14</f>
        <v>8.4575254446992645</v>
      </c>
      <c r="W19" s="134" t="s">
        <v>35</v>
      </c>
      <c r="X19" s="134"/>
      <c r="Y19" s="87">
        <f>SUM(Y5:Y18)/14</f>
        <v>9.8841436800346791</v>
      </c>
      <c r="Z19" s="135" t="s">
        <v>35</v>
      </c>
      <c r="AA19" s="135"/>
      <c r="AB19" s="90">
        <f>SUM(AB5:AB18)/14</f>
        <v>11.392200173617912</v>
      </c>
    </row>
    <row r="20" spans="2:28" x14ac:dyDescent="0.3">
      <c r="B20" s="164" t="s">
        <v>58</v>
      </c>
      <c r="C20" s="164"/>
      <c r="D20" s="67">
        <f>SQRT(SUMXMY2(B5:B18,C5:C18) / COUNT(B5:B18)) / 1000</f>
        <v>1926.7053311319244</v>
      </c>
      <c r="E20" s="165" t="s">
        <v>58</v>
      </c>
      <c r="F20" s="165"/>
      <c r="G20" s="68">
        <f>SQRT(SUMXMY2(E5:E18,F5:F18) / COUNT(E5:E18)) / 1000</f>
        <v>1926.835967292915</v>
      </c>
      <c r="H20" s="166" t="s">
        <v>58</v>
      </c>
      <c r="I20" s="166"/>
      <c r="J20" s="69">
        <f>SQRT(SUMXMY2(H5:H18,I5:I18) / COUNT(H5:H18)) / 1000</f>
        <v>1927.1367676276238</v>
      </c>
      <c r="K20" s="167" t="s">
        <v>58</v>
      </c>
      <c r="L20" s="167"/>
      <c r="M20" s="70">
        <f>SQRT(SUMXMY2(K5:K18,L5:L18) / COUNT(K5:K18)) / 1000</f>
        <v>1926.8551890499102</v>
      </c>
      <c r="N20" s="168" t="s">
        <v>58</v>
      </c>
      <c r="O20" s="168"/>
      <c r="P20" s="72">
        <f>SQRT(SUMXMY2(N5:N18,O5:O18) / COUNT(N5:N18)) / 1000</f>
        <v>1927.0436248173753</v>
      </c>
      <c r="Q20" s="163" t="s">
        <v>58</v>
      </c>
      <c r="R20" s="163"/>
      <c r="S20" s="73">
        <f>SQRT(SUMXMY2(Q5:Q18,R5:R18) / COUNT(Q5:Q18)) / 1000</f>
        <v>1923.1990283163832</v>
      </c>
      <c r="T20" s="133" t="s">
        <v>58</v>
      </c>
      <c r="U20" s="133"/>
      <c r="V20" s="93">
        <f>SQRT(SUMXMY2(T5:T18,U5:U18) / COUNT(T5:T18)) / 1000</f>
        <v>2357.0103047938719</v>
      </c>
      <c r="W20" s="134" t="s">
        <v>58</v>
      </c>
      <c r="X20" s="134"/>
      <c r="Y20" s="87">
        <f>SQRT(SUMXMY2(W5:W18,X5:X18) / COUNT(W5:W18)) / 1000</f>
        <v>2469.6421823199103</v>
      </c>
      <c r="Z20" s="135" t="s">
        <v>58</v>
      </c>
      <c r="AA20" s="135"/>
      <c r="AB20" s="90">
        <f>SQRT(SUMXMY2(Z5:Z18,AA5:AA18) / COUNT(Z5:Z18)) / 1000</f>
        <v>2711.0894840814435</v>
      </c>
    </row>
    <row r="21" spans="2:28" x14ac:dyDescent="0.3">
      <c r="B21" s="164" t="s">
        <v>60</v>
      </c>
      <c r="C21" s="164"/>
      <c r="D21" s="67" cm="1">
        <f t="array" ref="D21">SUMPRODUCT(ABS(B5:B18 - C5:C18)) / COUNT(B5:B18) / 1000</f>
        <v>1538.5385904148829</v>
      </c>
      <c r="E21" s="165" t="s">
        <v>60</v>
      </c>
      <c r="F21" s="165"/>
      <c r="G21" s="68" cm="1">
        <f t="array" ref="G21">SUMPRODUCT(ABS(E5:E18 - F5:F18)) / COUNT(E5:E18) / 1000</f>
        <v>1526.6300384555811</v>
      </c>
      <c r="H21" s="166" t="s">
        <v>60</v>
      </c>
      <c r="I21" s="166"/>
      <c r="J21" s="69" cm="1">
        <f t="array" ref="J21">SUMPRODUCT(ABS(H5:H18 - I5:I18)) / COUNT(H5:H18) / 1000</f>
        <v>1526.7877713048445</v>
      </c>
      <c r="K21" s="167" t="s">
        <v>60</v>
      </c>
      <c r="L21" s="167"/>
      <c r="M21" s="70" cm="1">
        <f t="array" ref="M21">SUMPRODUCT(ABS(K5:K18 - L5:L18)) / COUNT(K5:K18) / 1000</f>
        <v>1526.8225217109748</v>
      </c>
      <c r="N21" s="168" t="s">
        <v>60</v>
      </c>
      <c r="O21" s="168"/>
      <c r="P21" s="72" cm="1">
        <f t="array" ref="P21">SUMPRODUCT(ABS(N5:N18 - O5:O18)) / COUNT(N5:N18) / 1000</f>
        <v>1526.050745511126</v>
      </c>
      <c r="Q21" s="163" t="s">
        <v>60</v>
      </c>
      <c r="R21" s="163"/>
      <c r="S21" s="73" cm="1">
        <f t="array" ref="S21">SUMPRODUCT(ABS(Q5:Q18 - R5:R18)) / COUNT(Q5:Q18) / 1000</f>
        <v>1522.6913537688886</v>
      </c>
      <c r="T21" s="133" t="s">
        <v>60</v>
      </c>
      <c r="U21" s="133"/>
      <c r="V21" s="93" cm="1">
        <f t="array" ref="V21">SUMPRODUCT(ABS(T5:T18 - U5:U18)) / COUNT(T5:T18) / 1000</f>
        <v>1768.5988878571413</v>
      </c>
      <c r="W21" s="134" t="s">
        <v>60</v>
      </c>
      <c r="X21" s="134"/>
      <c r="Y21" s="87" cm="1">
        <f t="array" ref="Y21">SUMPRODUCT(ABS(W5:W18 - X5:X18)) / COUNT(W5:W18) / 1000</f>
        <v>2100.355575714284</v>
      </c>
      <c r="Z21" s="135" t="s">
        <v>60</v>
      </c>
      <c r="AA21" s="135"/>
      <c r="AB21" s="90" cm="1">
        <f t="array" ref="AB21">SUMPRODUCT(ABS(Z5:Z18 - AA5:AA18)) / COUNT(Z5:Z18) / 1000</f>
        <v>2476.0175872857149</v>
      </c>
    </row>
    <row r="22" spans="2:28" x14ac:dyDescent="0.3">
      <c r="B22" s="164" t="s">
        <v>59</v>
      </c>
      <c r="C22" s="164"/>
      <c r="D22" s="67">
        <f>1 - (SUMXMY2(B5:B18,C5:C18) / DEVSQ(B5:B18))</f>
        <v>1.0867403173139945E-2</v>
      </c>
      <c r="E22" s="165" t="s">
        <v>59</v>
      </c>
      <c r="F22" s="165"/>
      <c r="G22" s="68">
        <f>1 - (SUMXMY2(E5:E18,F5:F18) / DEVSQ(E5:E18))</f>
        <v>1.0733266557958587E-2</v>
      </c>
      <c r="H22" s="166" t="s">
        <v>59</v>
      </c>
      <c r="I22" s="166"/>
      <c r="J22" s="69">
        <f>1 - (SUMXMY2(H5:H18,I5:I18) / DEVSQ(H5:H18))</f>
        <v>1.0424371564608514E-2</v>
      </c>
      <c r="K22" s="167" t="s">
        <v>59</v>
      </c>
      <c r="L22" s="167"/>
      <c r="M22" s="70">
        <f>1 - (SUMXMY2(K5:K18,L5:L18) / DEVSQ(K5:K18))</f>
        <v>1.0713528977880582E-2</v>
      </c>
      <c r="N22" s="168" t="s">
        <v>59</v>
      </c>
      <c r="O22" s="168"/>
      <c r="P22" s="72">
        <f>1 - (SUMXMY2(N5:N18,O5:O18) / DEVSQ(N5:N18))</f>
        <v>1.0520026039265939E-2</v>
      </c>
      <c r="Q22" s="163" t="s">
        <v>59</v>
      </c>
      <c r="R22" s="163"/>
      <c r="S22" s="73">
        <f>1 - (SUMXMY2(Q5:Q18,R5:R18) / DEVSQ(Q5:Q18))</f>
        <v>1.4464261045970761E-2</v>
      </c>
      <c r="T22" s="133" t="s">
        <v>59</v>
      </c>
      <c r="U22" s="133"/>
      <c r="V22" s="93">
        <f>1 - (SUMXMY2(T5:T18,U5:U18) / DEVSQ(T5:T18))</f>
        <v>-0.48029024997492686</v>
      </c>
      <c r="W22" s="134" t="s">
        <v>59</v>
      </c>
      <c r="X22" s="134"/>
      <c r="Y22" s="87">
        <f>1 - (SUMXMY2(W5:W18,X5:X18) / DEVSQ(W5:W18))</f>
        <v>-0.62514450972999103</v>
      </c>
      <c r="Z22" s="135" t="s">
        <v>59</v>
      </c>
      <c r="AA22" s="135"/>
      <c r="AB22" s="90">
        <f>1 - (SUMXMY2(Z5:Z18,AA5:AA18) / DEVSQ(Z5:Z18))</f>
        <v>-0.9584460888931694</v>
      </c>
    </row>
  </sheetData>
  <mergeCells count="46">
    <mergeCell ref="Q22:R22"/>
    <mergeCell ref="B21:C21"/>
    <mergeCell ref="E21:F21"/>
    <mergeCell ref="H21:I21"/>
    <mergeCell ref="K21:L21"/>
    <mergeCell ref="N21:O21"/>
    <mergeCell ref="Q21:R21"/>
    <mergeCell ref="B22:C22"/>
    <mergeCell ref="E22:F22"/>
    <mergeCell ref="H22:I22"/>
    <mergeCell ref="K22:L22"/>
    <mergeCell ref="N22:O22"/>
    <mergeCell ref="Q20:R20"/>
    <mergeCell ref="B19:C19"/>
    <mergeCell ref="E19:F19"/>
    <mergeCell ref="H19:I19"/>
    <mergeCell ref="K19:L19"/>
    <mergeCell ref="N19:O19"/>
    <mergeCell ref="Q19:R19"/>
    <mergeCell ref="B20:C20"/>
    <mergeCell ref="E20:F20"/>
    <mergeCell ref="H20:I20"/>
    <mergeCell ref="K20:L20"/>
    <mergeCell ref="N20:O20"/>
    <mergeCell ref="B1:S1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T19:U19"/>
    <mergeCell ref="W19:X19"/>
    <mergeCell ref="Z19:AA19"/>
    <mergeCell ref="T22:U22"/>
    <mergeCell ref="W22:X22"/>
    <mergeCell ref="Z22:AA22"/>
    <mergeCell ref="T20:U20"/>
    <mergeCell ref="W20:X20"/>
    <mergeCell ref="Z20:AA20"/>
    <mergeCell ref="T21:U21"/>
    <mergeCell ref="W21:X21"/>
    <mergeCell ref="Z21:AA21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118A-F8FF-443A-AD57-FF325996C0A2}">
  <sheetPr>
    <tabColor rgb="FF0070C0"/>
  </sheetPr>
  <dimension ref="B1:AB22"/>
  <sheetViews>
    <sheetView topLeftCell="F1" workbookViewId="0">
      <selection activeCell="N3" sqref="N3:S22"/>
    </sheetView>
  </sheetViews>
  <sheetFormatPr defaultRowHeight="14.4" x14ac:dyDescent="0.3"/>
  <cols>
    <col min="2" max="3" width="13.88671875" bestFit="1" customWidth="1"/>
    <col min="4" max="4" width="16.44140625" customWidth="1"/>
    <col min="5" max="6" width="13.88671875" bestFit="1" customWidth="1"/>
    <col min="8" max="9" width="13.88671875" bestFit="1" customWidth="1"/>
    <col min="11" max="12" width="13.88671875" bestFit="1" customWidth="1"/>
    <col min="14" max="15" width="13.88671875" bestFit="1" customWidth="1"/>
    <col min="17" max="18" width="13.88671875" bestFit="1" customWidth="1"/>
    <col min="20" max="20" width="11.88671875" customWidth="1"/>
    <col min="21" max="21" width="11.6640625" customWidth="1"/>
    <col min="22" max="22" width="13.21875" customWidth="1"/>
    <col min="23" max="23" width="12.5546875" customWidth="1"/>
    <col min="24" max="24" width="12.44140625" customWidth="1"/>
    <col min="25" max="25" width="14.21875" customWidth="1"/>
    <col min="26" max="26" width="12.77734375" customWidth="1"/>
    <col min="27" max="27" width="11.109375" customWidth="1"/>
  </cols>
  <sheetData>
    <row r="1" spans="2:28" x14ac:dyDescent="0.3">
      <c r="B1" s="120" t="s">
        <v>241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</row>
    <row r="3" spans="2:28" x14ac:dyDescent="0.3">
      <c r="B3" s="121" t="s">
        <v>112</v>
      </c>
      <c r="C3" s="122"/>
      <c r="D3" s="123"/>
      <c r="E3" s="124" t="s">
        <v>113</v>
      </c>
      <c r="F3" s="125"/>
      <c r="G3" s="126"/>
      <c r="H3" s="127" t="s">
        <v>64</v>
      </c>
      <c r="I3" s="128"/>
      <c r="J3" s="129"/>
      <c r="K3" s="130" t="s">
        <v>53</v>
      </c>
      <c r="L3" s="131"/>
      <c r="M3" s="132"/>
      <c r="N3" s="114" t="s">
        <v>114</v>
      </c>
      <c r="O3" s="115"/>
      <c r="P3" s="116"/>
      <c r="Q3" s="117" t="s">
        <v>57</v>
      </c>
      <c r="R3" s="118"/>
      <c r="S3" s="119"/>
      <c r="T3" s="136" t="s">
        <v>250</v>
      </c>
      <c r="U3" s="137"/>
      <c r="V3" s="138"/>
      <c r="W3" s="139" t="s">
        <v>251</v>
      </c>
      <c r="X3" s="140"/>
      <c r="Y3" s="141"/>
      <c r="Z3" s="142" t="s">
        <v>252</v>
      </c>
      <c r="AA3" s="143"/>
      <c r="AB3" s="144"/>
    </row>
    <row r="4" spans="2:28" x14ac:dyDescent="0.3">
      <c r="B4" s="54" t="s">
        <v>111</v>
      </c>
      <c r="C4" s="54" t="s">
        <v>2</v>
      </c>
      <c r="D4" s="54" t="s">
        <v>5</v>
      </c>
      <c r="E4" s="56" t="s">
        <v>111</v>
      </c>
      <c r="F4" s="56" t="s">
        <v>2</v>
      </c>
      <c r="G4" s="56" t="s">
        <v>5</v>
      </c>
      <c r="H4" s="57" t="s">
        <v>111</v>
      </c>
      <c r="I4" s="57" t="s">
        <v>2</v>
      </c>
      <c r="J4" s="57" t="s">
        <v>5</v>
      </c>
      <c r="K4" s="59" t="s">
        <v>111</v>
      </c>
      <c r="L4" s="59" t="s">
        <v>2</v>
      </c>
      <c r="M4" s="59" t="s">
        <v>5</v>
      </c>
      <c r="N4" s="58" t="s">
        <v>111</v>
      </c>
      <c r="O4" s="58" t="s">
        <v>2</v>
      </c>
      <c r="P4" s="58" t="s">
        <v>5</v>
      </c>
      <c r="Q4" s="55" t="s">
        <v>111</v>
      </c>
      <c r="R4" s="55" t="s">
        <v>2</v>
      </c>
      <c r="S4" s="55" t="s">
        <v>5</v>
      </c>
      <c r="T4" s="91" t="s">
        <v>111</v>
      </c>
      <c r="U4" s="91" t="s">
        <v>2</v>
      </c>
      <c r="V4" s="91" t="s">
        <v>5</v>
      </c>
      <c r="W4" s="85" t="s">
        <v>111</v>
      </c>
      <c r="X4" s="85" t="s">
        <v>2</v>
      </c>
      <c r="Y4" s="85" t="s">
        <v>5</v>
      </c>
      <c r="Z4" s="88" t="s">
        <v>111</v>
      </c>
      <c r="AA4" s="88" t="s">
        <v>2</v>
      </c>
      <c r="AB4" s="88" t="s">
        <v>5</v>
      </c>
    </row>
    <row r="5" spans="2:28" x14ac:dyDescent="0.3">
      <c r="B5" s="175">
        <f>'2024a'!P6</f>
        <v>25001165.223999992</v>
      </c>
      <c r="C5" s="175">
        <f>'2024a'!O6</f>
        <v>23845794.709253348</v>
      </c>
      <c r="D5" s="60">
        <f>ABS((C5-B5)/B5)*100</f>
        <v>4.6212666665533648</v>
      </c>
      <c r="E5" s="176">
        <f>'2024a'!P25</f>
        <v>25001165.223999992</v>
      </c>
      <c r="F5" s="176">
        <f>'2024a'!O25</f>
        <v>23877096.045944281</v>
      </c>
      <c r="G5" s="61">
        <f>ABS((F5-E5)/E5)*100</f>
        <v>4.4960671552086513</v>
      </c>
      <c r="H5" s="177">
        <f>'2024a'!P44</f>
        <v>25001165.223999992</v>
      </c>
      <c r="I5" s="177">
        <f>'2024a'!O44</f>
        <v>23877096.045944281</v>
      </c>
      <c r="J5" s="62">
        <f>ABS((I5-H5)/H5)*100</f>
        <v>4.4960671552086513</v>
      </c>
      <c r="K5" s="178">
        <f>'2024a'!P63</f>
        <v>25001165.223999992</v>
      </c>
      <c r="L5" s="178">
        <f>'2024a'!O63</f>
        <v>23877096.045944281</v>
      </c>
      <c r="M5" s="63">
        <f>ABS((L5-K5)/K5)*100</f>
        <v>4.4960671552086513</v>
      </c>
      <c r="N5" s="179">
        <f>'2024a'!P82</f>
        <v>25001165.223999992</v>
      </c>
      <c r="O5" s="179">
        <f>'2024a'!O82</f>
        <v>23877096.045944281</v>
      </c>
      <c r="P5" s="71">
        <f>ABS((O5-N5)/N5)*100</f>
        <v>4.4960671552086513</v>
      </c>
      <c r="Q5" s="180">
        <f>'2024a'!P102</f>
        <v>25001165.223999992</v>
      </c>
      <c r="R5" s="180">
        <f>'2024a'!O102</f>
        <v>23877096.045944281</v>
      </c>
      <c r="S5" s="65">
        <f>ABS((R5-Q5)/Q5)*100</f>
        <v>4.4960671552086513</v>
      </c>
      <c r="T5" s="172">
        <f>'2024a'!J121</f>
        <v>25001165.223999992</v>
      </c>
      <c r="U5" s="172">
        <f>'2024a'!I121</f>
        <v>22341811.23</v>
      </c>
      <c r="V5" s="92">
        <f>ABS((U5-T5)/T5)*100</f>
        <v>10.636920200211835</v>
      </c>
      <c r="W5" s="173">
        <f>'2024a'!J140</f>
        <v>25001165.223999992</v>
      </c>
      <c r="X5" s="173">
        <f>'2024a'!I140</f>
        <v>23467018.350000001</v>
      </c>
      <c r="Y5" s="86">
        <f>ABS((X5-W5)/W5)*100</f>
        <v>6.1363014893692984</v>
      </c>
      <c r="Z5" s="174">
        <f>'2024a'!J159</f>
        <v>25001165.223999992</v>
      </c>
      <c r="AA5" s="174">
        <f>'2024a'!I159</f>
        <v>24548994.079999998</v>
      </c>
      <c r="AB5" s="89">
        <f>ABS((AA5-Z5)/Z5)*100</f>
        <v>1.8086002790219147</v>
      </c>
    </row>
    <row r="6" spans="2:28" x14ac:dyDescent="0.3">
      <c r="B6" s="175">
        <f>'2024a'!P7</f>
        <v>24512817.800000001</v>
      </c>
      <c r="C6" s="175">
        <f>'2024a'!O7</f>
        <v>23131784.179703005</v>
      </c>
      <c r="D6" s="60">
        <f t="shared" ref="D6:D18" si="0">ABS((C6-B6)/B6)*100</f>
        <v>5.633924388313269</v>
      </c>
      <c r="E6" s="176">
        <f>'2024a'!P26</f>
        <v>24512817.800000001</v>
      </c>
      <c r="F6" s="176">
        <f>'2024a'!O26</f>
        <v>23131784.179703005</v>
      </c>
      <c r="G6" s="61">
        <f t="shared" ref="G6:G18" si="1">ABS((F6-E6)/E6)*100</f>
        <v>5.633924388313269</v>
      </c>
      <c r="H6" s="177">
        <f>'2024a'!P45</f>
        <v>24512817.800000001</v>
      </c>
      <c r="I6" s="177">
        <f>'2024a'!O45</f>
        <v>23131784.179703005</v>
      </c>
      <c r="J6" s="62">
        <f t="shared" ref="J6:J18" si="2">ABS((I6-H6)/H6)*100</f>
        <v>5.633924388313269</v>
      </c>
      <c r="K6" s="178">
        <f>'2024a'!P64</f>
        <v>24512817.800000001</v>
      </c>
      <c r="L6" s="178">
        <f>'2024a'!O64</f>
        <v>23131784.179703005</v>
      </c>
      <c r="M6" s="63">
        <f t="shared" ref="M6:M18" si="3">ABS((L6-K6)/K6)*100</f>
        <v>5.633924388313269</v>
      </c>
      <c r="N6" s="179">
        <f>'2024a'!P83</f>
        <v>24512817.800000001</v>
      </c>
      <c r="O6" s="179">
        <f>'2024a'!O83</f>
        <v>23131784.179703005</v>
      </c>
      <c r="P6" s="71">
        <f t="shared" ref="P6:P18" si="4">ABS((O6-N6)/N6)*100</f>
        <v>5.633924388313269</v>
      </c>
      <c r="Q6" s="180">
        <f>'2024a'!P103</f>
        <v>24512817.800000001</v>
      </c>
      <c r="R6" s="180">
        <f>'2024a'!O103</f>
        <v>23131784.179703005</v>
      </c>
      <c r="S6" s="65">
        <f t="shared" ref="S6:S18" si="5">ABS((R6-Q6)/Q6)*100</f>
        <v>5.633924388313269</v>
      </c>
      <c r="T6" s="172">
        <f>'2024a'!J122</f>
        <v>24512817.800000001</v>
      </c>
      <c r="U6" s="172">
        <f>'2024a'!I122</f>
        <v>22433867.32</v>
      </c>
      <c r="V6" s="92">
        <f t="shared" ref="V6:V18" si="6">ABS((U6-T6)/T6)*100</f>
        <v>8.4810750724871813</v>
      </c>
      <c r="W6" s="173">
        <f>'2024a'!J141</f>
        <v>24512817.800000001</v>
      </c>
      <c r="X6" s="173">
        <f>'2024a'!I141</f>
        <v>22404539.489999998</v>
      </c>
      <c r="Y6" s="86">
        <f t="shared" ref="Y6:Y18" si="7">ABS((X6-W6)/W6)*100</f>
        <v>8.6007179068577031</v>
      </c>
      <c r="Z6" s="174">
        <f>'2024a'!J160</f>
        <v>24512817.800000001</v>
      </c>
      <c r="AA6" s="174">
        <f>'2024a'!I160</f>
        <v>23677098.629999999</v>
      </c>
      <c r="AB6" s="89">
        <f t="shared" ref="AB6:AB18" si="8">ABS((AA6-Z6)/Z6)*100</f>
        <v>3.4093149829555776</v>
      </c>
    </row>
    <row r="7" spans="2:28" x14ac:dyDescent="0.3">
      <c r="B7" s="175">
        <f>'2024a'!P8</f>
        <v>24126175.350000001</v>
      </c>
      <c r="C7" s="175">
        <f>'2024a'!O8</f>
        <v>26655878.89182191</v>
      </c>
      <c r="D7" s="60">
        <f t="shared" si="0"/>
        <v>10.485306954473032</v>
      </c>
      <c r="E7" s="176">
        <f>'2024a'!P27</f>
        <v>24126175.350000001</v>
      </c>
      <c r="F7" s="176">
        <f>'2024a'!O27</f>
        <v>26655878.89182191</v>
      </c>
      <c r="G7" s="61">
        <f t="shared" si="1"/>
        <v>10.485306954473032</v>
      </c>
      <c r="H7" s="177">
        <f>'2024a'!P46</f>
        <v>24126175.350000001</v>
      </c>
      <c r="I7" s="177">
        <f>'2024a'!O46</f>
        <v>26655878.89182191</v>
      </c>
      <c r="J7" s="62">
        <f t="shared" si="2"/>
        <v>10.485306954473032</v>
      </c>
      <c r="K7" s="178">
        <f>'2024a'!P65</f>
        <v>24126175.350000001</v>
      </c>
      <c r="L7" s="178">
        <f>'2024a'!O65</f>
        <v>26655878.89182191</v>
      </c>
      <c r="M7" s="63">
        <f t="shared" si="3"/>
        <v>10.485306954473032</v>
      </c>
      <c r="N7" s="179">
        <f>'2024a'!P84</f>
        <v>24126175.350000001</v>
      </c>
      <c r="O7" s="179">
        <f>'2024a'!O84</f>
        <v>26655878.89182191</v>
      </c>
      <c r="P7" s="71">
        <f t="shared" si="4"/>
        <v>10.485306954473032</v>
      </c>
      <c r="Q7" s="180">
        <f>'2024a'!P104</f>
        <v>24126175.350000001</v>
      </c>
      <c r="R7" s="180">
        <f>'2024a'!O104</f>
        <v>26655878.89182191</v>
      </c>
      <c r="S7" s="65">
        <f t="shared" si="5"/>
        <v>10.485306954473032</v>
      </c>
      <c r="T7" s="172">
        <f>'2024a'!J123</f>
        <v>24126175.350000001</v>
      </c>
      <c r="U7" s="172">
        <f>'2024a'!I123</f>
        <v>22640656.629999999</v>
      </c>
      <c r="V7" s="92">
        <f t="shared" si="6"/>
        <v>6.1572905711306722</v>
      </c>
      <c r="W7" s="173">
        <f>'2024a'!J142</f>
        <v>24126175.350000001</v>
      </c>
      <c r="X7" s="173">
        <f>'2024a'!I142</f>
        <v>22526094.629999999</v>
      </c>
      <c r="Y7" s="86">
        <f t="shared" si="7"/>
        <v>6.6321358308456562</v>
      </c>
      <c r="Z7" s="174">
        <f>'2024a'!J161</f>
        <v>24126175.350000001</v>
      </c>
      <c r="AA7" s="174">
        <f>'2024a'!I161</f>
        <v>22238513.620000001</v>
      </c>
      <c r="AB7" s="89">
        <f t="shared" si="8"/>
        <v>7.8241233955053735</v>
      </c>
    </row>
    <row r="8" spans="2:28" x14ac:dyDescent="0.3">
      <c r="B8" s="175">
        <f>'2024a'!P9</f>
        <v>25429718.52</v>
      </c>
      <c r="C8" s="175">
        <f>'2024a'!O9</f>
        <v>23149447.316149995</v>
      </c>
      <c r="D8" s="60">
        <f t="shared" si="0"/>
        <v>8.9669541645009332</v>
      </c>
      <c r="E8" s="176">
        <f>'2024a'!P28</f>
        <v>25429718.52</v>
      </c>
      <c r="F8" s="176">
        <f>'2024a'!O28</f>
        <v>23149447.316149995</v>
      </c>
      <c r="G8" s="61">
        <f t="shared" si="1"/>
        <v>8.9669541645009332</v>
      </c>
      <c r="H8" s="177">
        <f>'2024a'!P47</f>
        <v>25429718.52</v>
      </c>
      <c r="I8" s="177">
        <f>'2024a'!O47</f>
        <v>23152154.512090497</v>
      </c>
      <c r="J8" s="62">
        <f t="shared" si="2"/>
        <v>8.9563083685658622</v>
      </c>
      <c r="K8" s="178">
        <f>'2024a'!P66</f>
        <v>25429718.52</v>
      </c>
      <c r="L8" s="178">
        <f>'2024a'!O66</f>
        <v>23163977.775993928</v>
      </c>
      <c r="M8" s="63">
        <f t="shared" si="3"/>
        <v>8.9098144842779465</v>
      </c>
      <c r="N8" s="179">
        <f>'2024a'!P85</f>
        <v>25429718.52</v>
      </c>
      <c r="O8" s="179">
        <f>'2024a'!O85</f>
        <v>23153369.987818889</v>
      </c>
      <c r="P8" s="71">
        <f t="shared" si="4"/>
        <v>8.9515286234521412</v>
      </c>
      <c r="Q8" s="180">
        <f>'2024a'!P105</f>
        <v>25429718.52</v>
      </c>
      <c r="R8" s="180">
        <f>'2024a'!O105</f>
        <v>23153066.118886791</v>
      </c>
      <c r="S8" s="65">
        <f t="shared" si="5"/>
        <v>8.9527235597305719</v>
      </c>
      <c r="T8" s="172">
        <f>'2024a'!J124</f>
        <v>25429718.52</v>
      </c>
      <c r="U8" s="172">
        <f>'2024a'!I124</f>
        <v>22201767.23</v>
      </c>
      <c r="V8" s="92">
        <f t="shared" si="6"/>
        <v>12.693617852912039</v>
      </c>
      <c r="W8" s="173">
        <f>'2024a'!J143</f>
        <v>25429718.52</v>
      </c>
      <c r="X8" s="173">
        <f>'2024a'!I143</f>
        <v>22698447.550000001</v>
      </c>
      <c r="Y8" s="86">
        <f t="shared" si="7"/>
        <v>10.74046874664344</v>
      </c>
      <c r="Z8" s="174">
        <f>'2024a'!J162</f>
        <v>25429718.52</v>
      </c>
      <c r="AA8" s="174">
        <f>'2024a'!I162</f>
        <v>22494398.309999999</v>
      </c>
      <c r="AB8" s="89">
        <f t="shared" si="8"/>
        <v>11.542873381360577</v>
      </c>
    </row>
    <row r="9" spans="2:28" x14ac:dyDescent="0.3">
      <c r="B9" s="175">
        <f>'2024a'!P10</f>
        <v>24516278.84</v>
      </c>
      <c r="C9" s="175">
        <f>'2024a'!O10</f>
        <v>21945654.594758786</v>
      </c>
      <c r="D9" s="60">
        <f t="shared" si="0"/>
        <v>10.485376928602488</v>
      </c>
      <c r="E9" s="176">
        <f>'2024a'!P29</f>
        <v>24516278.84</v>
      </c>
      <c r="F9" s="176">
        <f>'2024a'!O29</f>
        <v>21949381.672147699</v>
      </c>
      <c r="G9" s="61">
        <f t="shared" si="1"/>
        <v>10.470174468990912</v>
      </c>
      <c r="H9" s="177">
        <f>'2024a'!P48</f>
        <v>24516278.84</v>
      </c>
      <c r="I9" s="177">
        <f>'2024a'!O48</f>
        <v>21949381.672147699</v>
      </c>
      <c r="J9" s="62">
        <f t="shared" si="2"/>
        <v>10.470174468990912</v>
      </c>
      <c r="K9" s="178">
        <f>'2024a'!P67</f>
        <v>24516278.84</v>
      </c>
      <c r="L9" s="178">
        <f>'2024a'!O67</f>
        <v>21949381.672147699</v>
      </c>
      <c r="M9" s="63">
        <f t="shared" si="3"/>
        <v>10.470174468990912</v>
      </c>
      <c r="N9" s="179">
        <f>'2024a'!P86</f>
        <v>24516278.84</v>
      </c>
      <c r="O9" s="179">
        <f>'2024a'!O86</f>
        <v>21949381.672147699</v>
      </c>
      <c r="P9" s="71">
        <f t="shared" si="4"/>
        <v>10.470174468990912</v>
      </c>
      <c r="Q9" s="180">
        <f>'2024a'!P106</f>
        <v>24516278.84</v>
      </c>
      <c r="R9" s="180">
        <f>'2024a'!O106</f>
        <v>21949381.672147699</v>
      </c>
      <c r="S9" s="65">
        <f t="shared" si="5"/>
        <v>10.470174468990912</v>
      </c>
      <c r="T9" s="172">
        <f>'2024a'!J125</f>
        <v>24516278.84</v>
      </c>
      <c r="U9" s="172">
        <f>'2024a'!I125</f>
        <v>22051813.149999999</v>
      </c>
      <c r="V9" s="92">
        <f t="shared" si="6"/>
        <v>10.052364415023114</v>
      </c>
      <c r="W9" s="173">
        <f>'2024a'!J144</f>
        <v>24516278.84</v>
      </c>
      <c r="X9" s="173">
        <f>'2024a'!I144</f>
        <v>22277568.789999999</v>
      </c>
      <c r="Y9" s="86">
        <f t="shared" si="7"/>
        <v>9.1315246682028715</v>
      </c>
      <c r="Z9" s="174">
        <f>'2024a'!J163</f>
        <v>24516278.84</v>
      </c>
      <c r="AA9" s="174">
        <f>'2024a'!I163</f>
        <v>22134216.190000001</v>
      </c>
      <c r="AB9" s="89">
        <f t="shared" si="8"/>
        <v>9.7162488057261722</v>
      </c>
    </row>
    <row r="10" spans="2:28" x14ac:dyDescent="0.3">
      <c r="B10" s="175">
        <f>'2024a'!P11</f>
        <v>23904977.280000001</v>
      </c>
      <c r="C10" s="175">
        <f>'2024a'!O11</f>
        <v>24204696.591560006</v>
      </c>
      <c r="D10" s="60">
        <f t="shared" si="0"/>
        <v>1.2537945886723927</v>
      </c>
      <c r="E10" s="176">
        <f>'2024a'!P30</f>
        <v>23904977.280000001</v>
      </c>
      <c r="F10" s="176">
        <f>'2024a'!O30</f>
        <v>24326916.323992416</v>
      </c>
      <c r="G10" s="61">
        <f t="shared" si="1"/>
        <v>1.7650677473993193</v>
      </c>
      <c r="H10" s="177">
        <f>'2024a'!P49</f>
        <v>23904977.280000001</v>
      </c>
      <c r="I10" s="177">
        <f>'2024a'!O49</f>
        <v>24326916.323992416</v>
      </c>
      <c r="J10" s="62">
        <f t="shared" si="2"/>
        <v>1.7650677473993193</v>
      </c>
      <c r="K10" s="178">
        <f>'2024a'!P68</f>
        <v>23904977.280000001</v>
      </c>
      <c r="L10" s="178">
        <f>'2024a'!O68</f>
        <v>24326916.323992416</v>
      </c>
      <c r="M10" s="63">
        <f t="shared" si="3"/>
        <v>1.7650677473993193</v>
      </c>
      <c r="N10" s="179">
        <f>'2024a'!P87</f>
        <v>23904977.280000001</v>
      </c>
      <c r="O10" s="179">
        <f>'2024a'!O87</f>
        <v>24326916.323992416</v>
      </c>
      <c r="P10" s="71">
        <f t="shared" si="4"/>
        <v>1.7650677473993193</v>
      </c>
      <c r="Q10" s="180">
        <f>'2024a'!P107</f>
        <v>23904977.280000001</v>
      </c>
      <c r="R10" s="180">
        <f>'2024a'!O107</f>
        <v>24243034.517762896</v>
      </c>
      <c r="S10" s="65">
        <f t="shared" si="5"/>
        <v>1.4141709226627404</v>
      </c>
      <c r="T10" s="172">
        <f>'2024a'!J126</f>
        <v>23904977.280000001</v>
      </c>
      <c r="U10" s="172">
        <f>'2024a'!I126</f>
        <v>23679295.68</v>
      </c>
      <c r="V10" s="92">
        <f t="shared" si="6"/>
        <v>0.94407786862369059</v>
      </c>
      <c r="W10" s="173">
        <f>'2024a'!J145</f>
        <v>23904977.280000001</v>
      </c>
      <c r="X10" s="173">
        <f>'2024a'!I145</f>
        <v>23446726.170000002</v>
      </c>
      <c r="Y10" s="86">
        <f t="shared" si="7"/>
        <v>1.9169694437793643</v>
      </c>
      <c r="Z10" s="174">
        <f>'2024a'!J164</f>
        <v>23904977.280000001</v>
      </c>
      <c r="AA10" s="174">
        <f>'2024a'!I164</f>
        <v>24357475.890000001</v>
      </c>
      <c r="AB10" s="89">
        <f t="shared" si="8"/>
        <v>1.8929054175616407</v>
      </c>
    </row>
    <row r="11" spans="2:28" x14ac:dyDescent="0.3">
      <c r="B11" s="175">
        <f>'2024a'!P12</f>
        <v>20221836.344000001</v>
      </c>
      <c r="C11" s="175">
        <f>'2024a'!O12</f>
        <v>22844856.527057756</v>
      </c>
      <c r="D11" s="60">
        <f t="shared" si="0"/>
        <v>12.97122644272625</v>
      </c>
      <c r="E11" s="176">
        <f>'2024a'!P31</f>
        <v>20221836.344000001</v>
      </c>
      <c r="F11" s="176">
        <f>'2024a'!O31</f>
        <v>22844856.527057756</v>
      </c>
      <c r="G11" s="61">
        <f t="shared" si="1"/>
        <v>12.97122644272625</v>
      </c>
      <c r="H11" s="177">
        <f>'2024a'!P50</f>
        <v>20221836.344000001</v>
      </c>
      <c r="I11" s="177">
        <f>'2024a'!O50</f>
        <v>22844856.527057756</v>
      </c>
      <c r="J11" s="62">
        <f t="shared" si="2"/>
        <v>12.97122644272625</v>
      </c>
      <c r="K11" s="178">
        <f>'2024a'!P69</f>
        <v>20221836.344000001</v>
      </c>
      <c r="L11" s="178">
        <f>'2024a'!O69</f>
        <v>22844856.527057756</v>
      </c>
      <c r="M11" s="63">
        <f t="shared" si="3"/>
        <v>12.97122644272625</v>
      </c>
      <c r="N11" s="179">
        <f>'2024a'!P88</f>
        <v>20221836.344000001</v>
      </c>
      <c r="O11" s="179">
        <f>'2024a'!O88</f>
        <v>22844856.527057756</v>
      </c>
      <c r="P11" s="71">
        <f t="shared" si="4"/>
        <v>12.97122644272625</v>
      </c>
      <c r="Q11" s="180">
        <f>'2024a'!P108</f>
        <v>20221836.344000001</v>
      </c>
      <c r="R11" s="180">
        <f>'2024a'!O108</f>
        <v>22844856.527057756</v>
      </c>
      <c r="S11" s="65">
        <f t="shared" si="5"/>
        <v>12.97122644272625</v>
      </c>
      <c r="T11" s="172">
        <f>'2024a'!J127</f>
        <v>20221836.344000001</v>
      </c>
      <c r="U11" s="172">
        <f>'2024a'!I127</f>
        <v>21728444.460000001</v>
      </c>
      <c r="V11" s="92">
        <f t="shared" si="6"/>
        <v>7.4504020820395205</v>
      </c>
      <c r="W11" s="173">
        <f>'2024a'!J146</f>
        <v>20221836.344000001</v>
      </c>
      <c r="X11" s="173">
        <f>'2024a'!I146</f>
        <v>21325595.579999998</v>
      </c>
      <c r="Y11" s="86">
        <f t="shared" si="7"/>
        <v>5.4582542219391117</v>
      </c>
      <c r="Z11" s="174">
        <f>'2024a'!J165</f>
        <v>20221836.344000001</v>
      </c>
      <c r="AA11" s="174">
        <f>'2024a'!I165</f>
        <v>19682720.219999999</v>
      </c>
      <c r="AB11" s="89">
        <f t="shared" si="8"/>
        <v>2.6660097274497145</v>
      </c>
    </row>
    <row r="12" spans="2:28" x14ac:dyDescent="0.3">
      <c r="B12" s="175">
        <f>'2024a'!P13</f>
        <v>20717922.855999995</v>
      </c>
      <c r="C12" s="175">
        <f>'2024a'!O13</f>
        <v>19453557.353953399</v>
      </c>
      <c r="D12" s="60">
        <f t="shared" si="0"/>
        <v>6.1027618976794811</v>
      </c>
      <c r="E12" s="176">
        <f>'2024a'!P32</f>
        <v>20717922.855999995</v>
      </c>
      <c r="F12" s="176">
        <f>'2024a'!O32</f>
        <v>19453557.353953399</v>
      </c>
      <c r="G12" s="61">
        <f t="shared" si="1"/>
        <v>6.1027618976794811</v>
      </c>
      <c r="H12" s="177">
        <f>'2024a'!P51</f>
        <v>20717922.855999995</v>
      </c>
      <c r="I12" s="177">
        <f>'2024a'!O51</f>
        <v>19453557.353953399</v>
      </c>
      <c r="J12" s="62">
        <f t="shared" si="2"/>
        <v>6.1027618976794811</v>
      </c>
      <c r="K12" s="178">
        <f>'2024a'!P70</f>
        <v>20717922.855999995</v>
      </c>
      <c r="L12" s="178">
        <f>'2024a'!O70</f>
        <v>19453557.353953399</v>
      </c>
      <c r="M12" s="63">
        <f t="shared" si="3"/>
        <v>6.1027618976794811</v>
      </c>
      <c r="N12" s="179">
        <f>'2024a'!P89</f>
        <v>20717922.855999995</v>
      </c>
      <c r="O12" s="179">
        <f>'2024a'!O89</f>
        <v>19453557.353953399</v>
      </c>
      <c r="P12" s="71">
        <f t="shared" si="4"/>
        <v>6.1027618976794811</v>
      </c>
      <c r="Q12" s="180">
        <f>'2024a'!P109</f>
        <v>20717922.855999995</v>
      </c>
      <c r="R12" s="180">
        <f>'2024a'!O109</f>
        <v>19453557.353953399</v>
      </c>
      <c r="S12" s="65">
        <f t="shared" si="5"/>
        <v>6.1027618976794811</v>
      </c>
      <c r="T12" s="172">
        <f>'2024a'!J128</f>
        <v>20717922.855999995</v>
      </c>
      <c r="U12" s="172">
        <f>'2024a'!I128</f>
        <v>21600443.350000001</v>
      </c>
      <c r="V12" s="92">
        <f t="shared" si="6"/>
        <v>4.2596958205413191</v>
      </c>
      <c r="W12" s="173">
        <f>'2024a'!J147</f>
        <v>20717922.855999995</v>
      </c>
      <c r="X12" s="173">
        <f>'2024a'!I147</f>
        <v>21206589.800000001</v>
      </c>
      <c r="Y12" s="86">
        <f t="shared" si="7"/>
        <v>2.3586676492449907</v>
      </c>
      <c r="Z12" s="174">
        <f>'2024a'!J166</f>
        <v>20717922.855999995</v>
      </c>
      <c r="AA12" s="174">
        <f>'2024a'!I166</f>
        <v>19669393.32</v>
      </c>
      <c r="AB12" s="89">
        <f t="shared" si="8"/>
        <v>5.0609780878508115</v>
      </c>
    </row>
    <row r="13" spans="2:28" x14ac:dyDescent="0.3">
      <c r="B13" s="175">
        <f>'2024a'!P14</f>
        <v>25986091.631999992</v>
      </c>
      <c r="C13" s="175">
        <f>'2024a'!O14</f>
        <v>24317298.362522557</v>
      </c>
      <c r="D13" s="60">
        <f t="shared" si="0"/>
        <v>6.4218709496984774</v>
      </c>
      <c r="E13" s="176">
        <f>'2024a'!P33</f>
        <v>25986091.631999992</v>
      </c>
      <c r="F13" s="176">
        <f>'2024a'!O33</f>
        <v>24247473.010509372</v>
      </c>
      <c r="G13" s="61">
        <f t="shared" si="1"/>
        <v>6.6905737350269208</v>
      </c>
      <c r="H13" s="177">
        <f>'2024a'!P52</f>
        <v>25986091.631999992</v>
      </c>
      <c r="I13" s="177">
        <f>'2024a'!O52</f>
        <v>24236743.041787457</v>
      </c>
      <c r="J13" s="62">
        <f t="shared" si="2"/>
        <v>6.731864933695296</v>
      </c>
      <c r="K13" s="178">
        <f>'2024a'!P71</f>
        <v>25986091.631999992</v>
      </c>
      <c r="L13" s="178">
        <f>'2024a'!O71</f>
        <v>24247634.121150844</v>
      </c>
      <c r="M13" s="63">
        <f t="shared" si="3"/>
        <v>6.6899537470589205</v>
      </c>
      <c r="N13" s="179">
        <f>'2024a'!P90</f>
        <v>25986091.631999992</v>
      </c>
      <c r="O13" s="179">
        <f>'2024a'!O90</f>
        <v>24245539.68281173</v>
      </c>
      <c r="P13" s="71">
        <f t="shared" si="4"/>
        <v>6.6980135906428444</v>
      </c>
      <c r="Q13" s="180">
        <f>'2024a'!P110</f>
        <v>25986091.631999992</v>
      </c>
      <c r="R13" s="180">
        <f>'2024a'!O110</f>
        <v>24250469.668440718</v>
      </c>
      <c r="S13" s="65">
        <f t="shared" si="5"/>
        <v>6.6790419588222365</v>
      </c>
      <c r="T13" s="172">
        <f>'2024a'!J129</f>
        <v>25986091.631999992</v>
      </c>
      <c r="U13" s="172">
        <f>'2024a'!I129</f>
        <v>22118616.989999998</v>
      </c>
      <c r="V13" s="92">
        <f t="shared" si="6"/>
        <v>14.882863867213791</v>
      </c>
      <c r="W13" s="173">
        <f>'2024a'!J148</f>
        <v>25986091.631999992</v>
      </c>
      <c r="X13" s="173">
        <f>'2024a'!I148</f>
        <v>23597787.07</v>
      </c>
      <c r="Y13" s="86">
        <f t="shared" si="7"/>
        <v>9.1907032262557227</v>
      </c>
      <c r="Z13" s="174">
        <f>'2024a'!J167</f>
        <v>25986091.631999992</v>
      </c>
      <c r="AA13" s="174">
        <f>'2024a'!I167</f>
        <v>25217328.02</v>
      </c>
      <c r="AB13" s="89">
        <f t="shared" si="8"/>
        <v>2.9583656630122688</v>
      </c>
    </row>
    <row r="14" spans="2:28" x14ac:dyDescent="0.3">
      <c r="B14" s="175">
        <f>'2024a'!P15</f>
        <v>26009814.719999999</v>
      </c>
      <c r="C14" s="175">
        <f>'2024a'!O15</f>
        <v>24704808.929452769</v>
      </c>
      <c r="D14" s="60">
        <f t="shared" si="0"/>
        <v>5.0173590415611748</v>
      </c>
      <c r="E14" s="176">
        <f>'2024a'!P34</f>
        <v>26009814.719999999</v>
      </c>
      <c r="F14" s="176">
        <f>'2024a'!O34</f>
        <v>24882468.522934206</v>
      </c>
      <c r="G14" s="61">
        <f t="shared" si="1"/>
        <v>4.3343107561582546</v>
      </c>
      <c r="H14" s="177">
        <f>'2024a'!P53</f>
        <v>26009814.719999999</v>
      </c>
      <c r="I14" s="177">
        <f>'2024a'!O53</f>
        <v>24888424.910964623</v>
      </c>
      <c r="J14" s="62">
        <f t="shared" si="2"/>
        <v>4.3114102161331189</v>
      </c>
      <c r="K14" s="178">
        <f>'2024a'!P72</f>
        <v>26009814.719999999</v>
      </c>
      <c r="L14" s="178">
        <f>'2024a'!O72</f>
        <v>24884856.975560263</v>
      </c>
      <c r="M14" s="63">
        <f t="shared" si="3"/>
        <v>4.3251278663462003</v>
      </c>
      <c r="N14" s="179">
        <f>'2024a'!P91</f>
        <v>26009814.719999999</v>
      </c>
      <c r="O14" s="179">
        <f>'2024a'!O91</f>
        <v>24924959.390022464</v>
      </c>
      <c r="P14" s="71">
        <f t="shared" si="4"/>
        <v>4.1709460127116769</v>
      </c>
      <c r="Q14" s="180">
        <f>'2024a'!P111</f>
        <v>26009814.719999999</v>
      </c>
      <c r="R14" s="180">
        <f>'2024a'!O111</f>
        <v>24926374.769356422</v>
      </c>
      <c r="S14" s="65">
        <f t="shared" si="5"/>
        <v>4.1655043002304657</v>
      </c>
      <c r="T14" s="172">
        <f>'2024a'!J130</f>
        <v>26009814.719999999</v>
      </c>
      <c r="U14" s="172">
        <f>'2024a'!I130</f>
        <v>22549861.289999999</v>
      </c>
      <c r="V14" s="92">
        <f t="shared" si="6"/>
        <v>13.302491644969319</v>
      </c>
      <c r="W14" s="173">
        <f>'2024a'!J149</f>
        <v>26009814.719999999</v>
      </c>
      <c r="X14" s="173">
        <f>'2024a'!I149</f>
        <v>23574382.359999999</v>
      </c>
      <c r="Y14" s="86">
        <f t="shared" si="7"/>
        <v>9.3635129131746453</v>
      </c>
      <c r="Z14" s="174">
        <f>'2024a'!J168</f>
        <v>26009814.719999999</v>
      </c>
      <c r="AA14" s="174">
        <f>'2024a'!I168</f>
        <v>23503917.449999999</v>
      </c>
      <c r="AB14" s="89">
        <f t="shared" si="8"/>
        <v>9.6344295296848603</v>
      </c>
    </row>
    <row r="15" spans="2:28" x14ac:dyDescent="0.3">
      <c r="B15" s="175">
        <f>'2024a'!P16</f>
        <v>24792648.940000001</v>
      </c>
      <c r="C15" s="175">
        <f>'2024a'!O16</f>
        <v>26081224.12522848</v>
      </c>
      <c r="D15" s="60">
        <f t="shared" si="0"/>
        <v>5.197408265437562</v>
      </c>
      <c r="E15" s="176">
        <f>'2024a'!P35</f>
        <v>24792648.940000001</v>
      </c>
      <c r="F15" s="176">
        <f>'2024a'!O35</f>
        <v>26081224.12522848</v>
      </c>
      <c r="G15" s="61">
        <f t="shared" si="1"/>
        <v>5.197408265437562</v>
      </c>
      <c r="H15" s="177">
        <f>'2024a'!P54</f>
        <v>24792648.940000001</v>
      </c>
      <c r="I15" s="177">
        <f>'2024a'!O54</f>
        <v>26081224.12522848</v>
      </c>
      <c r="J15" s="62">
        <f t="shared" si="2"/>
        <v>5.197408265437562</v>
      </c>
      <c r="K15" s="178">
        <f>'2024a'!P73</f>
        <v>24792648.940000001</v>
      </c>
      <c r="L15" s="178">
        <f>'2024a'!O73</f>
        <v>26081224.12522848</v>
      </c>
      <c r="M15" s="63">
        <f t="shared" si="3"/>
        <v>5.197408265437562</v>
      </c>
      <c r="N15" s="179">
        <f>'2024a'!P92</f>
        <v>24792648.940000001</v>
      </c>
      <c r="O15" s="179">
        <f>'2024a'!O92</f>
        <v>26081224.12522848</v>
      </c>
      <c r="P15" s="71">
        <f t="shared" si="4"/>
        <v>5.197408265437562</v>
      </c>
      <c r="Q15" s="180">
        <f>'2024a'!P112</f>
        <v>24792648.940000001</v>
      </c>
      <c r="R15" s="180">
        <f>'2024a'!O112</f>
        <v>26081224.12522848</v>
      </c>
      <c r="S15" s="65">
        <f t="shared" si="5"/>
        <v>5.197408265437562</v>
      </c>
      <c r="T15" s="172">
        <f>'2024a'!J131</f>
        <v>24792648.940000001</v>
      </c>
      <c r="U15" s="172">
        <f>'2024a'!I131</f>
        <v>23006651.620000001</v>
      </c>
      <c r="V15" s="92">
        <f t="shared" si="6"/>
        <v>7.2037373832955192</v>
      </c>
      <c r="W15" s="173">
        <f>'2024a'!J150</f>
        <v>24792648.940000001</v>
      </c>
      <c r="X15" s="173">
        <f>'2024a'!I150</f>
        <v>22526094.629999999</v>
      </c>
      <c r="Y15" s="86">
        <f t="shared" si="7"/>
        <v>9.1420417216620429</v>
      </c>
      <c r="Z15" s="174">
        <f>'2024a'!J169</f>
        <v>24792648.940000001</v>
      </c>
      <c r="AA15" s="174">
        <f>'2024a'!I169</f>
        <v>22238513.620000001</v>
      </c>
      <c r="AB15" s="89">
        <f t="shared" si="8"/>
        <v>10.301986391938964</v>
      </c>
    </row>
    <row r="16" spans="2:28" x14ac:dyDescent="0.3">
      <c r="B16" s="175">
        <f>'2024a'!P17</f>
        <v>23546634.488000005</v>
      </c>
      <c r="C16" s="175">
        <f>'2024a'!O17</f>
        <v>23365382.874701187</v>
      </c>
      <c r="D16" s="60">
        <f t="shared" si="0"/>
        <v>0.76975592155723627</v>
      </c>
      <c r="E16" s="176">
        <f>'2024a'!P36</f>
        <v>23546634.488000005</v>
      </c>
      <c r="F16" s="176">
        <f>'2024a'!O36</f>
        <v>23310987.187415816</v>
      </c>
      <c r="G16" s="61">
        <f t="shared" si="1"/>
        <v>1.0007684992276995</v>
      </c>
      <c r="H16" s="177">
        <f>'2024a'!P55</f>
        <v>23546634.488000005</v>
      </c>
      <c r="I16" s="177">
        <f>'2024a'!O55</f>
        <v>23306932.49576515</v>
      </c>
      <c r="J16" s="62">
        <f t="shared" si="2"/>
        <v>1.0179883344136269</v>
      </c>
      <c r="K16" s="178">
        <f>'2024a'!P74</f>
        <v>23546634.488000005</v>
      </c>
      <c r="L16" s="178">
        <f>'2024a'!O74</f>
        <v>23341026.170630626</v>
      </c>
      <c r="M16" s="63">
        <f t="shared" si="3"/>
        <v>0.87319619911780855</v>
      </c>
      <c r="N16" s="179">
        <f>'2024a'!P93</f>
        <v>23546634.488000005</v>
      </c>
      <c r="O16" s="179">
        <f>'2024a'!O93</f>
        <v>23309816.466587104</v>
      </c>
      <c r="P16" s="71">
        <f t="shared" si="4"/>
        <v>1.0057404234715173</v>
      </c>
      <c r="Q16" s="180">
        <f>'2024a'!P113</f>
        <v>23546634.488000005</v>
      </c>
      <c r="R16" s="180">
        <f>'2024a'!O113</f>
        <v>23319467.774882354</v>
      </c>
      <c r="S16" s="65">
        <f t="shared" si="5"/>
        <v>0.9647523650712031</v>
      </c>
      <c r="T16" s="172">
        <f>'2024a'!J132</f>
        <v>23546634.488000005</v>
      </c>
      <c r="U16" s="172">
        <f>'2024a'!I132</f>
        <v>22512655.420000002</v>
      </c>
      <c r="V16" s="92">
        <f t="shared" si="6"/>
        <v>4.3911968333603983</v>
      </c>
      <c r="W16" s="173">
        <f>'2024a'!J151</f>
        <v>23546634.488000005</v>
      </c>
      <c r="X16" s="173">
        <f>'2024a'!I151</f>
        <v>22296252.239999998</v>
      </c>
      <c r="Y16" s="86">
        <f t="shared" si="7"/>
        <v>5.3102376419748447</v>
      </c>
      <c r="Z16" s="174">
        <f>'2024a'!J170</f>
        <v>23546634.488000005</v>
      </c>
      <c r="AA16" s="174">
        <f>'2024a'!I170</f>
        <v>20706594.27</v>
      </c>
      <c r="AB16" s="89">
        <f t="shared" si="8"/>
        <v>12.061342437057689</v>
      </c>
    </row>
    <row r="17" spans="2:28" x14ac:dyDescent="0.3">
      <c r="B17" s="175">
        <f>'2024a'!P18</f>
        <v>22710128.848000001</v>
      </c>
      <c r="C17" s="175">
        <f>'2024a'!O18</f>
        <v>21431925.974617567</v>
      </c>
      <c r="D17" s="60">
        <f t="shared" si="0"/>
        <v>5.6283382711630932</v>
      </c>
      <c r="E17" s="176">
        <f>'2024a'!P37</f>
        <v>22710128.848000001</v>
      </c>
      <c r="F17" s="176">
        <f>'2024a'!O37</f>
        <v>21653292.23438096</v>
      </c>
      <c r="G17" s="61">
        <f t="shared" si="1"/>
        <v>4.6535914467614852</v>
      </c>
      <c r="H17" s="177">
        <f>'2024a'!P56</f>
        <v>22710128.848000001</v>
      </c>
      <c r="I17" s="177">
        <f>'2024a'!O56</f>
        <v>21653292.23438096</v>
      </c>
      <c r="J17" s="62">
        <f t="shared" si="2"/>
        <v>4.6535914467614852</v>
      </c>
      <c r="K17" s="178">
        <f>'2024a'!P75</f>
        <v>22710128.848000001</v>
      </c>
      <c r="L17" s="178">
        <f>'2024a'!O75</f>
        <v>21653292.23438096</v>
      </c>
      <c r="M17" s="63">
        <f t="shared" si="3"/>
        <v>4.6535914467614852</v>
      </c>
      <c r="N17" s="179">
        <f>'2024a'!P94</f>
        <v>22710128.848000001</v>
      </c>
      <c r="O17" s="179">
        <f>'2024a'!O94</f>
        <v>21653292.23438096</v>
      </c>
      <c r="P17" s="71">
        <f t="shared" si="4"/>
        <v>4.6535914467614852</v>
      </c>
      <c r="Q17" s="180">
        <f>'2024a'!P114</f>
        <v>22710128.848000001</v>
      </c>
      <c r="R17" s="180">
        <f>'2024a'!O114</f>
        <v>21653292.23438096</v>
      </c>
      <c r="S17" s="65">
        <f t="shared" si="5"/>
        <v>4.6535914467614852</v>
      </c>
      <c r="T17" s="172">
        <f>'2024a'!J133</f>
        <v>22710128.848000001</v>
      </c>
      <c r="U17" s="172">
        <f>'2024a'!I133</f>
        <v>21824984.109999999</v>
      </c>
      <c r="V17" s="92">
        <f t="shared" si="6"/>
        <v>3.8975769090713603</v>
      </c>
      <c r="W17" s="173">
        <f>'2024a'!J152</f>
        <v>22710128.848000001</v>
      </c>
      <c r="X17" s="173">
        <f>'2024a'!I152</f>
        <v>21677777.93</v>
      </c>
      <c r="Y17" s="86">
        <f t="shared" si="7"/>
        <v>4.5457730553163147</v>
      </c>
      <c r="Z17" s="174">
        <f>'2024a'!J171</f>
        <v>22710128.848000001</v>
      </c>
      <c r="AA17" s="174">
        <f>'2024a'!I171</f>
        <v>20820222.5</v>
      </c>
      <c r="AB17" s="89">
        <f t="shared" si="8"/>
        <v>8.3218653696297196</v>
      </c>
    </row>
    <row r="18" spans="2:28" x14ac:dyDescent="0.3">
      <c r="B18" s="175">
        <f>'2024a'!P19</f>
        <v>25031135.780000001</v>
      </c>
      <c r="C18" s="175">
        <f>'2024a'!O19</f>
        <v>26172234.069184292</v>
      </c>
      <c r="D18" s="60">
        <f t="shared" si="0"/>
        <v>4.5587155901093146</v>
      </c>
      <c r="E18" s="176">
        <f>'2024a'!P38</f>
        <v>25031135.780000001</v>
      </c>
      <c r="F18" s="176">
        <f>'2024a'!O38</f>
        <v>26172234.069184292</v>
      </c>
      <c r="G18" s="61">
        <f t="shared" si="1"/>
        <v>4.5587155901093146</v>
      </c>
      <c r="H18" s="177">
        <f>'2024a'!P57</f>
        <v>25031135.780000001</v>
      </c>
      <c r="I18" s="177">
        <f>'2024a'!O57</f>
        <v>26172234.069184292</v>
      </c>
      <c r="J18" s="62">
        <f t="shared" si="2"/>
        <v>4.5587155901093146</v>
      </c>
      <c r="K18" s="178">
        <f>'2024a'!P76</f>
        <v>25031135.780000001</v>
      </c>
      <c r="L18" s="178">
        <f>'2024a'!O76</f>
        <v>26172234.069184292</v>
      </c>
      <c r="M18" s="63">
        <f t="shared" si="3"/>
        <v>4.5587155901093146</v>
      </c>
      <c r="N18" s="179">
        <f>'2024a'!P95</f>
        <v>25031135.780000001</v>
      </c>
      <c r="O18" s="179">
        <f>'2024a'!O95</f>
        <v>26172234.069184292</v>
      </c>
      <c r="P18" s="71">
        <f t="shared" si="4"/>
        <v>4.5587155901093146</v>
      </c>
      <c r="Q18" s="180">
        <f>'2024a'!P115</f>
        <v>25031135.780000001</v>
      </c>
      <c r="R18" s="180">
        <f>'2024a'!O115</f>
        <v>26172234.069184292</v>
      </c>
      <c r="S18" s="65">
        <f t="shared" si="5"/>
        <v>4.5587155901093146</v>
      </c>
      <c r="T18" s="172">
        <f>'2024a'!J134</f>
        <v>25031135.780000001</v>
      </c>
      <c r="U18" s="172">
        <f>'2024a'!I134</f>
        <v>23692700.399999999</v>
      </c>
      <c r="V18" s="92">
        <f t="shared" si="6"/>
        <v>5.347082097127287</v>
      </c>
      <c r="W18" s="173">
        <f>'2024a'!J153</f>
        <v>25031135.780000001</v>
      </c>
      <c r="X18" s="173">
        <f>'2024a'!I153</f>
        <v>23560275.969999999</v>
      </c>
      <c r="Y18" s="86">
        <f t="shared" si="7"/>
        <v>5.8761209356517758</v>
      </c>
      <c r="Z18" s="174">
        <f>'2024a'!J172</f>
        <v>25031135.780000001</v>
      </c>
      <c r="AA18" s="174">
        <f>'2024a'!I172</f>
        <v>23793325.829999998</v>
      </c>
      <c r="AB18" s="89">
        <f t="shared" si="8"/>
        <v>4.9450810417840456</v>
      </c>
    </row>
    <row r="19" spans="2:28" x14ac:dyDescent="0.3">
      <c r="B19" s="164" t="s">
        <v>35</v>
      </c>
      <c r="C19" s="164"/>
      <c r="D19" s="67">
        <f>SUM(D5:D18)/14</f>
        <v>6.2938614336462901</v>
      </c>
      <c r="E19" s="165" t="s">
        <v>35</v>
      </c>
      <c r="F19" s="165"/>
      <c r="G19" s="68">
        <f>SUM(G5:G18)/14</f>
        <v>6.237632250858077</v>
      </c>
      <c r="H19" s="166" t="s">
        <v>35</v>
      </c>
      <c r="I19" s="166"/>
      <c r="J19" s="69">
        <f>SUM(J5:J18)/14</f>
        <v>6.2394154435647993</v>
      </c>
      <c r="K19" s="167" t="s">
        <v>35</v>
      </c>
      <c r="L19" s="167"/>
      <c r="M19" s="70">
        <f>SUM(M5:M18)/14</f>
        <v>6.2237383324214388</v>
      </c>
      <c r="N19" s="168" t="s">
        <v>35</v>
      </c>
      <c r="O19" s="168"/>
      <c r="P19" s="72">
        <f>SUM(P5:P18)/14</f>
        <v>6.2257480719555334</v>
      </c>
      <c r="Q19" s="163" t="s">
        <v>35</v>
      </c>
      <c r="R19" s="163"/>
      <c r="S19" s="73">
        <f>SUM(S5:S18)/14</f>
        <v>6.1960978368726547</v>
      </c>
      <c r="T19" s="133" t="s">
        <v>35</v>
      </c>
      <c r="U19" s="133"/>
      <c r="V19" s="93">
        <f>SUM(V5:V18)/14</f>
        <v>7.8357423298576458</v>
      </c>
      <c r="W19" s="134" t="s">
        <v>35</v>
      </c>
      <c r="X19" s="134"/>
      <c r="Y19" s="87">
        <f>SUM(Y5:Y18)/14</f>
        <v>6.7431021036369847</v>
      </c>
      <c r="Z19" s="135" t="s">
        <v>35</v>
      </c>
      <c r="AA19" s="135"/>
      <c r="AB19" s="90">
        <f>SUM(AB5:AB18)/14</f>
        <v>6.5817231793242374</v>
      </c>
    </row>
    <row r="20" spans="2:28" x14ac:dyDescent="0.3">
      <c r="B20" s="164" t="s">
        <v>58</v>
      </c>
      <c r="C20" s="164"/>
      <c r="D20" s="67">
        <f>SQRT(SUMXMY2(B5:B18,C5:C18) / COUNT(B5:B18)) / 1000</f>
        <v>1671.9335358204646</v>
      </c>
      <c r="E20" s="165" t="s">
        <v>58</v>
      </c>
      <c r="F20" s="165"/>
      <c r="G20" s="68">
        <f>SQRT(SUMXMY2(E5:E18,F5:F18) / COUNT(E5:E18)) / 1000</f>
        <v>1657.1132285540496</v>
      </c>
      <c r="H20" s="166" t="s">
        <v>58</v>
      </c>
      <c r="I20" s="166"/>
      <c r="J20" s="69">
        <f>SQRT(SUMXMY2(H5:H18,I5:I18) / COUNT(H5:H18)) / 1000</f>
        <v>1657.4067396336766</v>
      </c>
      <c r="K20" s="167" t="s">
        <v>58</v>
      </c>
      <c r="L20" s="167"/>
      <c r="M20" s="70">
        <f>SQRT(SUMXMY2(K5:K18,L5:L18) / COUNT(K5:K18)) / 1000</f>
        <v>1655.27488658216</v>
      </c>
      <c r="N20" s="168" t="s">
        <v>58</v>
      </c>
      <c r="O20" s="168"/>
      <c r="P20" s="72">
        <f>SQRT(SUMXMY2(N5:N18,O5:O18) / COUNT(N5:N18)) / 1000</f>
        <v>1654.8574938453048</v>
      </c>
      <c r="Q20" s="163" t="s">
        <v>58</v>
      </c>
      <c r="R20" s="163"/>
      <c r="S20" s="73">
        <f>SQRT(SUMXMY2(Q5:Q18,R5:R18) / COUNT(Q5:Q18)) / 1000</f>
        <v>1652.9777393780791</v>
      </c>
      <c r="T20" s="133" t="s">
        <v>58</v>
      </c>
      <c r="U20" s="133"/>
      <c r="V20" s="93">
        <f>SQRT(SUMXMY2(T5:T18,U5:U18) / COUNT(T5:T18)) / 1000</f>
        <v>2186.9139276796259</v>
      </c>
      <c r="W20" s="134" t="s">
        <v>58</v>
      </c>
      <c r="X20" s="134"/>
      <c r="Y20" s="87">
        <f>SQRT(SUMXMY2(W5:W18,X5:X18) / COUNT(W5:W18)) / 1000</f>
        <v>1794.0909109066247</v>
      </c>
      <c r="Z20" s="135" t="s">
        <v>58</v>
      </c>
      <c r="AA20" s="135"/>
      <c r="AB20" s="90">
        <f>SQRT(SUMXMY2(Z5:Z18,AA5:AA18) / COUNT(Z5:Z18)) / 1000</f>
        <v>1830.5964763372767</v>
      </c>
    </row>
    <row r="21" spans="2:28" x14ac:dyDescent="0.3">
      <c r="B21" s="164" t="s">
        <v>60</v>
      </c>
      <c r="C21" s="164"/>
      <c r="D21" s="67" cm="1">
        <f t="array" ref="D21">SUMPRODUCT(ABS(B5:B18 - C5:C18)) / COUNT(B5:B18) / 1000</f>
        <v>1497.6453674099862</v>
      </c>
      <c r="E21" s="165" t="s">
        <v>60</v>
      </c>
      <c r="F21" s="165"/>
      <c r="G21" s="68" cm="1">
        <f t="array" ref="G21">SUMPRODUCT(ABS(E5:E18 - F5:F18)) / COUNT(E5:E18) / 1000</f>
        <v>1484.2444034390073</v>
      </c>
      <c r="H21" s="166" t="s">
        <v>60</v>
      </c>
      <c r="I21" s="166"/>
      <c r="J21" s="69" cm="1">
        <f t="array" ref="J21">SUMPRODUCT(ABS(H5:H18 - I5:I18)) / COUNT(H5:H18) / 1000</f>
        <v>1484.6816231819832</v>
      </c>
      <c r="K21" s="167" t="s">
        <v>60</v>
      </c>
      <c r="L21" s="167"/>
      <c r="M21" s="70" cm="1">
        <f t="array" ref="M21">SUMPRODUCT(ABS(K5:K18 - L5:L18)) / COUNT(K5:K18) / 1000</f>
        <v>1480.8787601299878</v>
      </c>
      <c r="N21" s="168" t="s">
        <v>60</v>
      </c>
      <c r="O21" s="168"/>
      <c r="P21" s="72" cm="1">
        <f t="array" ref="P21">SUMPRODUCT(ABS(N5:N18 - O5:O18)) / COUNT(N5:N18) / 1000</f>
        <v>1481.1508684225214</v>
      </c>
      <c r="Q21" s="163" t="s">
        <v>60</v>
      </c>
      <c r="R21" s="163"/>
      <c r="S21" s="73" cm="1">
        <f t="array" ref="S21">SUMPRODUCT(ABS(Q5:Q18 - R5:R18)) / COUNT(Q5:Q18) / 1000</f>
        <v>1474.0383962399774</v>
      </c>
      <c r="T21" s="133" t="s">
        <v>60</v>
      </c>
      <c r="U21" s="133"/>
      <c r="V21" s="93" cm="1">
        <f t="array" ref="V21">SUMPRODUCT(ABS(T5:T18 - U5:U18)) / COUNT(T5:T18) / 1000</f>
        <v>1921.5739258571432</v>
      </c>
      <c r="W21" s="134" t="s">
        <v>60</v>
      </c>
      <c r="X21" s="134"/>
      <c r="Y21" s="87" cm="1">
        <f t="array" ref="Y21">SUMPRODUCT(ABS(W5:W18 - X5:X18)) / COUNT(W5:W18) / 1000</f>
        <v>1650.5034587142859</v>
      </c>
      <c r="Z21" s="135" t="s">
        <v>60</v>
      </c>
      <c r="AA21" s="135"/>
      <c r="AB21" s="90" cm="1">
        <f t="array" ref="AB21">SUMPRODUCT(ABS(Z5:Z18 - AA5:AA18)) / COUNT(Z5:Z18) / 1000</f>
        <v>1594.973706571428</v>
      </c>
    </row>
    <row r="22" spans="2:28" x14ac:dyDescent="0.3">
      <c r="B22" s="164" t="s">
        <v>59</v>
      </c>
      <c r="C22" s="164"/>
      <c r="D22" s="67">
        <f>1 - (SUMXMY2(B5:B18,C5:C18) / DEVSQ(B5:B18))</f>
        <v>2.5856624450507626E-2</v>
      </c>
      <c r="E22" s="165" t="s">
        <v>59</v>
      </c>
      <c r="F22" s="165"/>
      <c r="G22" s="68">
        <f>1 - (SUMXMY2(E5:E18,F5:F18) / DEVSQ(E5:E18))</f>
        <v>4.3050032380288927E-2</v>
      </c>
      <c r="H22" s="166" t="s">
        <v>59</v>
      </c>
      <c r="I22" s="166"/>
      <c r="J22" s="69">
        <f>1 - (SUMXMY2(H5:H18,I5:I18) / DEVSQ(H5:H18))</f>
        <v>4.2711008724087396E-2</v>
      </c>
      <c r="K22" s="167" t="s">
        <v>59</v>
      </c>
      <c r="L22" s="167"/>
      <c r="M22" s="70">
        <f>1 - (SUMXMY2(K5:K18,L5:L18) / DEVSQ(K5:K18))</f>
        <v>4.517206660556039E-2</v>
      </c>
      <c r="N22" s="168" t="s">
        <v>59</v>
      </c>
      <c r="O22" s="168"/>
      <c r="P22" s="72">
        <f>1 - (SUMXMY2(N5:N18,O5:O18) / DEVSQ(N5:N18))</f>
        <v>4.5653543126517149E-2</v>
      </c>
      <c r="Q22" s="163" t="s">
        <v>59</v>
      </c>
      <c r="R22" s="163"/>
      <c r="S22" s="73">
        <f>1 - (SUMXMY2(Q5:Q18,R5:R18) / DEVSQ(Q5:Q18))</f>
        <v>4.7820398163560318E-2</v>
      </c>
      <c r="T22" s="133" t="s">
        <v>59</v>
      </c>
      <c r="U22" s="133"/>
      <c r="V22" s="93">
        <f>1 - (SUMXMY2(T5:T18,U5:U18) / DEVSQ(T5:T18))</f>
        <v>-0.66666472817150324</v>
      </c>
      <c r="W22" s="134" t="s">
        <v>59</v>
      </c>
      <c r="X22" s="134"/>
      <c r="Y22" s="87">
        <f>1 - (SUMXMY2(W5:W18,X5:X18) / DEVSQ(W5:W18))</f>
        <v>-0.1216923438630555</v>
      </c>
      <c r="Z22" s="135" t="s">
        <v>59</v>
      </c>
      <c r="AA22" s="135"/>
      <c r="AB22" s="90">
        <f>1 - (SUMXMY2(Z5:Z18,AA5:AA18) / DEVSQ(Z5:Z18))</f>
        <v>-0.16780440126323803</v>
      </c>
    </row>
  </sheetData>
  <mergeCells count="46">
    <mergeCell ref="T22:U22"/>
    <mergeCell ref="W22:X22"/>
    <mergeCell ref="Z22:AA22"/>
    <mergeCell ref="T20:U20"/>
    <mergeCell ref="W20:X20"/>
    <mergeCell ref="Z20:AA20"/>
    <mergeCell ref="T21:U21"/>
    <mergeCell ref="W21:X21"/>
    <mergeCell ref="Z21:AA21"/>
    <mergeCell ref="T3:V3"/>
    <mergeCell ref="W3:Y3"/>
    <mergeCell ref="Z3:AB3"/>
    <mergeCell ref="T19:U19"/>
    <mergeCell ref="W19:X19"/>
    <mergeCell ref="Z19:AA19"/>
    <mergeCell ref="Q22:R22"/>
    <mergeCell ref="B21:C21"/>
    <mergeCell ref="E21:F21"/>
    <mergeCell ref="H21:I21"/>
    <mergeCell ref="K21:L21"/>
    <mergeCell ref="N21:O21"/>
    <mergeCell ref="Q21:R21"/>
    <mergeCell ref="B22:C22"/>
    <mergeCell ref="E22:F22"/>
    <mergeCell ref="H22:I22"/>
    <mergeCell ref="K22:L22"/>
    <mergeCell ref="N22:O22"/>
    <mergeCell ref="Q20:R20"/>
    <mergeCell ref="B19:C19"/>
    <mergeCell ref="E19:F19"/>
    <mergeCell ref="H19:I19"/>
    <mergeCell ref="K19:L19"/>
    <mergeCell ref="N19:O19"/>
    <mergeCell ref="Q19:R19"/>
    <mergeCell ref="B20:C20"/>
    <mergeCell ref="E20:F20"/>
    <mergeCell ref="H20:I20"/>
    <mergeCell ref="K20:L20"/>
    <mergeCell ref="N20:O20"/>
    <mergeCell ref="B1:S1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D3FD-18AE-4F04-8061-1161C8EDDD23}">
  <dimension ref="B2:U12"/>
  <sheetViews>
    <sheetView workbookViewId="0">
      <selection activeCell="M12" sqref="M12:U12"/>
    </sheetView>
  </sheetViews>
  <sheetFormatPr defaultRowHeight="14.4" x14ac:dyDescent="0.3"/>
  <cols>
    <col min="4" max="12" width="9.21875" bestFit="1" customWidth="1"/>
  </cols>
  <sheetData>
    <row r="2" spans="2:21" ht="15" thickBot="1" x14ac:dyDescent="0.35"/>
    <row r="3" spans="2:21" ht="14.4" customHeight="1" x14ac:dyDescent="0.3">
      <c r="B3" s="183" t="s">
        <v>63</v>
      </c>
      <c r="C3" s="184" t="s">
        <v>115</v>
      </c>
      <c r="D3" s="189" t="s">
        <v>258</v>
      </c>
      <c r="E3" s="189"/>
      <c r="F3" s="189"/>
      <c r="G3" s="189"/>
      <c r="H3" s="189"/>
      <c r="I3" s="189"/>
      <c r="J3" s="189"/>
      <c r="K3" s="189"/>
      <c r="L3" s="190"/>
      <c r="M3" s="197" t="s">
        <v>116</v>
      </c>
      <c r="N3" s="198"/>
      <c r="O3" s="198"/>
      <c r="P3" s="198"/>
      <c r="Q3" s="198"/>
      <c r="R3" s="198"/>
      <c r="S3" s="198"/>
      <c r="T3" s="198"/>
      <c r="U3" s="199"/>
    </row>
    <row r="4" spans="2:21" ht="22.8" x14ac:dyDescent="0.3">
      <c r="B4" s="185"/>
      <c r="C4" s="181"/>
      <c r="D4" s="191" t="s">
        <v>256</v>
      </c>
      <c r="E4" s="191" t="s">
        <v>257</v>
      </c>
      <c r="F4" s="191" t="s">
        <v>252</v>
      </c>
      <c r="G4" s="191" t="s">
        <v>117</v>
      </c>
      <c r="H4" s="191" t="s">
        <v>118</v>
      </c>
      <c r="I4" s="191" t="s">
        <v>64</v>
      </c>
      <c r="J4" s="191" t="s">
        <v>53</v>
      </c>
      <c r="K4" s="191" t="s">
        <v>114</v>
      </c>
      <c r="L4" s="192" t="s">
        <v>57</v>
      </c>
      <c r="M4" s="200" t="s">
        <v>256</v>
      </c>
      <c r="N4" s="201" t="s">
        <v>257</v>
      </c>
      <c r="O4" s="201" t="s">
        <v>252</v>
      </c>
      <c r="P4" s="201" t="s">
        <v>117</v>
      </c>
      <c r="Q4" s="201" t="s">
        <v>118</v>
      </c>
      <c r="R4" s="201" t="s">
        <v>64</v>
      </c>
      <c r="S4" s="201" t="s">
        <v>53</v>
      </c>
      <c r="T4" s="201" t="s">
        <v>114</v>
      </c>
      <c r="U4" s="202" t="s">
        <v>57</v>
      </c>
    </row>
    <row r="5" spans="2:21" x14ac:dyDescent="0.3">
      <c r="B5" s="186">
        <v>1</v>
      </c>
      <c r="C5" s="182">
        <v>2023</v>
      </c>
      <c r="D5" s="193">
        <f>'Result Performance 2023'!V22</f>
        <v>-0.48029024997492686</v>
      </c>
      <c r="E5" s="193">
        <f>'Result Performance 2023'!Y22</f>
        <v>-0.62514450972999103</v>
      </c>
      <c r="F5" s="193">
        <f>'Result Performance 2023'!AB22</f>
        <v>-0.9584460888931694</v>
      </c>
      <c r="G5" s="193">
        <f>'Result Performance 2023'!D22</f>
        <v>1.0867403173139945E-2</v>
      </c>
      <c r="H5" s="193">
        <f>'Result Performance 2023'!G22</f>
        <v>1.0733266557958587E-2</v>
      </c>
      <c r="I5" s="193">
        <f>'Result Performance 2023'!J22</f>
        <v>1.0424371564608514E-2</v>
      </c>
      <c r="J5" s="193">
        <f>'Result Performance 2023'!M22</f>
        <v>1.0713528977880582E-2</v>
      </c>
      <c r="K5" s="193">
        <f>'Result Performance 2023'!P22</f>
        <v>1.0520026039265939E-2</v>
      </c>
      <c r="L5" s="194">
        <f>'Result Performance 2023'!S22</f>
        <v>1.4464261045970761E-2</v>
      </c>
      <c r="M5" s="203">
        <f>'Result Performance 2023'!V20</f>
        <v>2357.0103047938719</v>
      </c>
      <c r="N5" s="204">
        <f>'Result Performance 2023'!Y20</f>
        <v>2469.6421823199103</v>
      </c>
      <c r="O5" s="204">
        <f>'Result Performance 2023'!AB20</f>
        <v>2711.0894840814435</v>
      </c>
      <c r="P5" s="204">
        <f>'Result Performance 2023'!D20</f>
        <v>1926.7053311319244</v>
      </c>
      <c r="Q5" s="204">
        <f>'Result Performance 2023'!G20</f>
        <v>1926.835967292915</v>
      </c>
      <c r="R5" s="204">
        <f>'Result Performance 2023'!J20</f>
        <v>1927.1367676276238</v>
      </c>
      <c r="S5" s="204">
        <f>'Result Performance 2023'!M20</f>
        <v>1926.8551890499102</v>
      </c>
      <c r="T5" s="204">
        <f>'Result Performance 2023'!P20</f>
        <v>1927.0436248173753</v>
      </c>
      <c r="U5" s="205">
        <f>'Result Performance 2023'!S20</f>
        <v>1923.1990283163832</v>
      </c>
    </row>
    <row r="6" spans="2:21" x14ac:dyDescent="0.3">
      <c r="B6" s="186">
        <v>2</v>
      </c>
      <c r="C6" s="182">
        <v>2024</v>
      </c>
      <c r="D6" s="193">
        <f>'Result Performance 2024'!V22</f>
        <v>-0.66666472817150324</v>
      </c>
      <c r="E6" s="193">
        <f>'Result Performance 2024'!Y22</f>
        <v>-0.1216923438630555</v>
      </c>
      <c r="F6" s="193">
        <f>'Result Performance 2024'!AB22</f>
        <v>-0.16780440126323803</v>
      </c>
      <c r="G6" s="193">
        <f>'Result Performance 2024'!D22</f>
        <v>2.5856624450507626E-2</v>
      </c>
      <c r="H6" s="193">
        <f>'Result Performance 2024'!G22</f>
        <v>4.3050032380288927E-2</v>
      </c>
      <c r="I6" s="193">
        <f>'Result Performance 2024'!J22</f>
        <v>4.2711008724087396E-2</v>
      </c>
      <c r="J6" s="193">
        <f>'Result Performance 2024'!M22</f>
        <v>4.517206660556039E-2</v>
      </c>
      <c r="K6" s="193">
        <f>'Result Performance 2024'!P22</f>
        <v>4.5653543126517149E-2</v>
      </c>
      <c r="L6" s="194">
        <f>'Result Performance 2024'!S22</f>
        <v>4.7820398163560318E-2</v>
      </c>
      <c r="M6" s="203">
        <f>'Result Performance 2024'!V20</f>
        <v>2186.9139276796259</v>
      </c>
      <c r="N6" s="204">
        <f>'Result Performance 2024'!Y20</f>
        <v>1794.0909109066247</v>
      </c>
      <c r="O6" s="204">
        <f>'Result Performance 2024'!AB20</f>
        <v>1830.5964763372767</v>
      </c>
      <c r="P6" s="204">
        <f>'Result Performance 2024'!D20</f>
        <v>1671.9335358204646</v>
      </c>
      <c r="Q6" s="204">
        <f>'Result Performance 2024'!G20</f>
        <v>1657.1132285540496</v>
      </c>
      <c r="R6" s="204">
        <f>'Result Performance 2024'!J20</f>
        <v>1657.4067396336766</v>
      </c>
      <c r="S6" s="204">
        <f>'Result Performance 2024'!M20</f>
        <v>1655.27488658216</v>
      </c>
      <c r="T6" s="204">
        <f>'Result Performance 2024'!P20</f>
        <v>1654.8574938453048</v>
      </c>
      <c r="U6" s="205">
        <f>'Result Performance 2024'!S20</f>
        <v>1652.9777393780791</v>
      </c>
    </row>
    <row r="7" spans="2:21" ht="15" thickBot="1" x14ac:dyDescent="0.35">
      <c r="B7" s="187" t="s">
        <v>119</v>
      </c>
      <c r="C7" s="188"/>
      <c r="D7" s="195">
        <f>(D5+D6)/2</f>
        <v>-0.57347748907321505</v>
      </c>
      <c r="E7" s="195">
        <f t="shared" ref="E7:F7" si="0">(E5+E6)/2</f>
        <v>-0.37341842679652326</v>
      </c>
      <c r="F7" s="195">
        <f t="shared" si="0"/>
        <v>-0.56312524507820372</v>
      </c>
      <c r="G7" s="195">
        <f>(G5+G6)/2</f>
        <v>1.8362013811823785E-2</v>
      </c>
      <c r="H7" s="195">
        <f t="shared" ref="H7:L7" si="1">(H5+H6)/2</f>
        <v>2.6891649469123757E-2</v>
      </c>
      <c r="I7" s="195">
        <f t="shared" si="1"/>
        <v>2.6567690144347955E-2</v>
      </c>
      <c r="J7" s="195">
        <f t="shared" si="1"/>
        <v>2.7942797791720486E-2</v>
      </c>
      <c r="K7" s="195">
        <f t="shared" si="1"/>
        <v>2.8086784582891544E-2</v>
      </c>
      <c r="L7" s="196">
        <f t="shared" si="1"/>
        <v>3.114232960476554E-2</v>
      </c>
      <c r="M7" s="218">
        <f>(M5+M6)/2</f>
        <v>2271.9621162367489</v>
      </c>
      <c r="N7" s="218">
        <f t="shared" ref="N7:U7" si="2">(N5+N6)/2</f>
        <v>2131.8665466132675</v>
      </c>
      <c r="O7" s="218">
        <f t="shared" si="2"/>
        <v>2270.8429802093601</v>
      </c>
      <c r="P7" s="218">
        <f t="shared" si="2"/>
        <v>1799.3194334761945</v>
      </c>
      <c r="Q7" s="218">
        <f t="shared" si="2"/>
        <v>1791.9745979234822</v>
      </c>
      <c r="R7" s="218">
        <f t="shared" si="2"/>
        <v>1792.2717536306502</v>
      </c>
      <c r="S7" s="218">
        <f t="shared" si="2"/>
        <v>1791.0650378160351</v>
      </c>
      <c r="T7" s="218">
        <f t="shared" si="2"/>
        <v>1790.9505593313402</v>
      </c>
      <c r="U7" s="218">
        <f t="shared" si="2"/>
        <v>1788.0883838472312</v>
      </c>
    </row>
    <row r="8" spans="2:21" ht="15" customHeight="1" x14ac:dyDescent="0.3">
      <c r="B8" s="183" t="s">
        <v>63</v>
      </c>
      <c r="C8" s="184" t="s">
        <v>115</v>
      </c>
      <c r="D8" s="206" t="s">
        <v>120</v>
      </c>
      <c r="E8" s="206"/>
      <c r="F8" s="206"/>
      <c r="G8" s="206"/>
      <c r="H8" s="206"/>
      <c r="I8" s="206"/>
      <c r="J8" s="206"/>
      <c r="K8" s="206"/>
      <c r="L8" s="207"/>
      <c r="M8" s="212" t="s">
        <v>121</v>
      </c>
      <c r="N8" s="213"/>
      <c r="O8" s="213"/>
      <c r="P8" s="213"/>
      <c r="Q8" s="213"/>
      <c r="R8" s="213"/>
      <c r="S8" s="213"/>
      <c r="T8" s="213"/>
      <c r="U8" s="214"/>
    </row>
    <row r="9" spans="2:21" ht="22.8" x14ac:dyDescent="0.3">
      <c r="B9" s="185"/>
      <c r="C9" s="181"/>
      <c r="D9" s="208" t="s">
        <v>256</v>
      </c>
      <c r="E9" s="208" t="s">
        <v>257</v>
      </c>
      <c r="F9" s="208" t="s">
        <v>252</v>
      </c>
      <c r="G9" s="208" t="s">
        <v>117</v>
      </c>
      <c r="H9" s="208" t="s">
        <v>118</v>
      </c>
      <c r="I9" s="208" t="s">
        <v>64</v>
      </c>
      <c r="J9" s="208" t="s">
        <v>53</v>
      </c>
      <c r="K9" s="208" t="s">
        <v>114</v>
      </c>
      <c r="L9" s="209" t="s">
        <v>57</v>
      </c>
      <c r="M9" s="215" t="s">
        <v>256</v>
      </c>
      <c r="N9" s="216" t="s">
        <v>257</v>
      </c>
      <c r="O9" s="216" t="s">
        <v>252</v>
      </c>
      <c r="P9" s="216" t="s">
        <v>117</v>
      </c>
      <c r="Q9" s="216" t="s">
        <v>118</v>
      </c>
      <c r="R9" s="216" t="s">
        <v>64</v>
      </c>
      <c r="S9" s="216" t="s">
        <v>53</v>
      </c>
      <c r="T9" s="216" t="s">
        <v>114</v>
      </c>
      <c r="U9" s="217" t="s">
        <v>57</v>
      </c>
    </row>
    <row r="10" spans="2:21" x14ac:dyDescent="0.3">
      <c r="B10" s="186">
        <v>1</v>
      </c>
      <c r="C10" s="182">
        <v>2023</v>
      </c>
      <c r="D10" s="210">
        <f>'Result Performance 2023'!V21</f>
        <v>1768.5988878571413</v>
      </c>
      <c r="E10" s="210">
        <f>'Result Performance 2023'!Y21</f>
        <v>2100.355575714284</v>
      </c>
      <c r="F10" s="210">
        <f>'Result Performance 2023'!AB21</f>
        <v>2476.0175872857149</v>
      </c>
      <c r="G10" s="210">
        <f>'Result Performance 2023'!D21</f>
        <v>1538.5385904148829</v>
      </c>
      <c r="H10" s="210">
        <f>'Result Performance 2023'!G21</f>
        <v>1526.6300384555811</v>
      </c>
      <c r="I10" s="210">
        <f>'Result Performance 2023'!J21</f>
        <v>1526.7877713048445</v>
      </c>
      <c r="J10" s="210">
        <f>'Result Performance 2023'!M21</f>
        <v>1526.8225217109748</v>
      </c>
      <c r="K10" s="210">
        <f>'Result Performance 2023'!P21</f>
        <v>1526.050745511126</v>
      </c>
      <c r="L10" s="211">
        <f>'Result Performance 2023'!S21</f>
        <v>1522.6913537688886</v>
      </c>
      <c r="M10" s="221">
        <f>'Result Performance 2023'!V19</f>
        <v>8.4575254446992645</v>
      </c>
      <c r="N10" s="222">
        <f>'Result Performance 2023'!Y19</f>
        <v>9.8841436800346791</v>
      </c>
      <c r="O10" s="222">
        <f>'Result Performance 2023'!AB19</f>
        <v>11.392200173617912</v>
      </c>
      <c r="P10" s="222">
        <f>'Result Performance 2023'!D19</f>
        <v>7.038807970583119</v>
      </c>
      <c r="Q10" s="222">
        <f>'Result Performance 2023'!G19</f>
        <v>6.9868477681206231</v>
      </c>
      <c r="R10" s="222">
        <f>'Result Performance 2023'!J19</f>
        <v>6.9866339324727793</v>
      </c>
      <c r="S10" s="222">
        <f>'Result Performance 2023'!M19</f>
        <v>6.9877450661660694</v>
      </c>
      <c r="T10" s="222">
        <f>'Result Performance 2023'!P19</f>
        <v>6.9832859118264086</v>
      </c>
      <c r="U10" s="223">
        <f>'Result Performance 2023'!S19</f>
        <v>6.9690738979205618</v>
      </c>
    </row>
    <row r="11" spans="2:21" x14ac:dyDescent="0.3">
      <c r="B11" s="186">
        <v>2</v>
      </c>
      <c r="C11" s="182">
        <v>2024</v>
      </c>
      <c r="D11" s="210">
        <f>'Result Performance 2024'!V21</f>
        <v>1921.5739258571432</v>
      </c>
      <c r="E11" s="210">
        <f>'Result Performance 2024'!Y21</f>
        <v>1650.5034587142859</v>
      </c>
      <c r="F11" s="210">
        <f>'Result Performance 2024'!AB21</f>
        <v>1594.973706571428</v>
      </c>
      <c r="G11" s="210">
        <f>'Result Performance 2024'!D21</f>
        <v>1497.6453674099862</v>
      </c>
      <c r="H11" s="210">
        <f>'Result Performance 2024'!G21</f>
        <v>1484.2444034390073</v>
      </c>
      <c r="I11" s="210">
        <f>'Result Performance 2024'!J21</f>
        <v>1484.6816231819832</v>
      </c>
      <c r="J11" s="210">
        <f>'Result Performance 2024'!M21</f>
        <v>1480.8787601299878</v>
      </c>
      <c r="K11" s="210">
        <f>'Result Performance 2024'!P21</f>
        <v>1481.1508684225214</v>
      </c>
      <c r="L11" s="211">
        <f>'Result Performance 2024'!S21</f>
        <v>1474.0383962399774</v>
      </c>
      <c r="M11" s="221">
        <f>'Result Performance 2024'!V19</f>
        <v>7.8357423298576458</v>
      </c>
      <c r="N11" s="222">
        <f>'Result Performance 2024'!Y19</f>
        <v>6.7431021036369847</v>
      </c>
      <c r="O11" s="222">
        <f>'Result Performance 2024'!AB19</f>
        <v>6.5817231793242374</v>
      </c>
      <c r="P11" s="222">
        <f>'Result Performance 2024'!D19</f>
        <v>6.2938614336462901</v>
      </c>
      <c r="Q11" s="222">
        <f>'Result Performance 2024'!G19</f>
        <v>6.237632250858077</v>
      </c>
      <c r="R11" s="222">
        <f>'Result Performance 2024'!J19</f>
        <v>6.2394154435647993</v>
      </c>
      <c r="S11" s="222">
        <f>'Result Performance 2024'!M19</f>
        <v>6.2237383324214388</v>
      </c>
      <c r="T11" s="222">
        <f>'Result Performance 2024'!P19</f>
        <v>6.2257480719555334</v>
      </c>
      <c r="U11" s="223">
        <f>'Result Performance 2024'!S19</f>
        <v>6.1960978368726547</v>
      </c>
    </row>
    <row r="12" spans="2:21" ht="15" thickBot="1" x14ac:dyDescent="0.35">
      <c r="B12" s="187" t="s">
        <v>119</v>
      </c>
      <c r="C12" s="188"/>
      <c r="D12" s="219">
        <f>(D10+D11)/2</f>
        <v>1845.0864068571423</v>
      </c>
      <c r="E12" s="219">
        <f t="shared" ref="E12:F12" si="3">(E10+E11)/2</f>
        <v>1875.4295172142849</v>
      </c>
      <c r="F12" s="219">
        <f t="shared" si="3"/>
        <v>2035.4956469285714</v>
      </c>
      <c r="G12" s="219">
        <f>(G10+G11)/2</f>
        <v>1518.0919789124346</v>
      </c>
      <c r="H12" s="219">
        <f t="shared" ref="H12:L12" si="4">(H10+H11)/2</f>
        <v>1505.4372209472942</v>
      </c>
      <c r="I12" s="219">
        <f t="shared" si="4"/>
        <v>1505.7346972434138</v>
      </c>
      <c r="J12" s="219">
        <f t="shared" si="4"/>
        <v>1503.8506409204813</v>
      </c>
      <c r="K12" s="219">
        <f t="shared" si="4"/>
        <v>1503.6008069668237</v>
      </c>
      <c r="L12" s="220">
        <f t="shared" si="4"/>
        <v>1498.3648750044331</v>
      </c>
      <c r="M12" s="224">
        <f>(M10+M11)/2</f>
        <v>8.1466338872784547</v>
      </c>
      <c r="N12" s="225">
        <f t="shared" ref="N12:O12" si="5">(N10+N11)/2</f>
        <v>8.3136228918358324</v>
      </c>
      <c r="O12" s="225">
        <f t="shared" si="5"/>
        <v>8.9869616764710756</v>
      </c>
      <c r="P12" s="225">
        <f>(P10+P11)/2</f>
        <v>6.666334702114705</v>
      </c>
      <c r="Q12" s="225">
        <f t="shared" ref="Q12:U12" si="6">(Q10+Q11)/2</f>
        <v>6.6122400094893496</v>
      </c>
      <c r="R12" s="225">
        <f t="shared" si="6"/>
        <v>6.6130246880187897</v>
      </c>
      <c r="S12" s="225">
        <f t="shared" si="6"/>
        <v>6.6057416992937537</v>
      </c>
      <c r="T12" s="225">
        <f t="shared" si="6"/>
        <v>6.6045169918909714</v>
      </c>
      <c r="U12" s="226">
        <f t="shared" si="6"/>
        <v>6.5825858673966078</v>
      </c>
    </row>
  </sheetData>
  <mergeCells count="10">
    <mergeCell ref="B12:C12"/>
    <mergeCell ref="B3:B4"/>
    <mergeCell ref="C3:C4"/>
    <mergeCell ref="B7:C7"/>
    <mergeCell ref="B8:B9"/>
    <mergeCell ref="C8:C9"/>
    <mergeCell ref="D3:L3"/>
    <mergeCell ref="D8:L8"/>
    <mergeCell ref="M3:U3"/>
    <mergeCell ref="M8:U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2020a</vt:lpstr>
      <vt:lpstr>2021a</vt:lpstr>
      <vt:lpstr>2022a</vt:lpstr>
      <vt:lpstr>2023a</vt:lpstr>
      <vt:lpstr>Result VLD 2023</vt:lpstr>
      <vt:lpstr>2024a</vt:lpstr>
      <vt:lpstr>Result VLD 2024</vt:lpstr>
      <vt:lpstr>VLD(x,y,z)2022</vt:lpstr>
      <vt:lpstr>VLD(x,y,z)2023</vt:lpstr>
      <vt:lpstr>VLD(x,y,z)2024</vt:lpstr>
      <vt:lpstr>RuleBase 2022</vt:lpstr>
      <vt:lpstr>RuleBase 2023</vt:lpstr>
      <vt:lpstr>RuleBase 2024</vt:lpstr>
      <vt:lpstr>Load consumption</vt:lpstr>
      <vt:lpstr>Result Performance 2023</vt:lpstr>
      <vt:lpstr>Result Performance 2024</vt:lpstr>
      <vt:lpstr>Avarage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Akhmad Ramadhani</cp:lastModifiedBy>
  <cp:lastPrinted>2014-11-06T14:55:45Z</cp:lastPrinted>
  <dcterms:created xsi:type="dcterms:W3CDTF">2014-06-19T02:18:08Z</dcterms:created>
  <dcterms:modified xsi:type="dcterms:W3CDTF">2026-07-24T09:30:54Z</dcterms:modified>
</cp:coreProperties>
</file>